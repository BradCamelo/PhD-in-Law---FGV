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es Randomizados" sheetId="1" state="visible" r:id="rId1"/>
    <sheet name="Grupo A" sheetId="2" state="visible" r:id="rId2"/>
    <sheet name="Grupo B" sheetId="3" state="visible" r:id="rId3"/>
    <sheet name="Não Selecionados" sheetId="4" state="visible" r:id="rId4"/>
    <sheet name="Metodolog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9"/>
    </font>
    <font>
      <name val="Arial"/>
      <b val="1"/>
      <color rgb="00FFFFFF"/>
      <sz val="13"/>
    </font>
    <font>
      <name val="Arial"/>
      <sz val="10"/>
    </font>
    <font>
      <name val="Arial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0A2E4A"/>
      </patternFill>
    </fill>
    <fill>
      <patternFill patternType="solid">
        <fgColor rgb="001A5276"/>
      </patternFill>
    </fill>
    <fill>
      <patternFill patternType="solid">
        <fgColor rgb="00145A32"/>
      </patternFill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FFFFF"/>
      </patternFill>
    </fill>
    <fill>
      <patternFill patternType="solid">
        <fgColor rgb="006E2F00"/>
      </patternFill>
    </fill>
    <fill>
      <patternFill patternType="solid">
        <fgColor rgb="00784212"/>
      </patternFill>
    </fill>
    <fill>
      <patternFill patternType="solid">
        <fgColor rgb="00FDEBD0"/>
      </patternFill>
    </fill>
  </fills>
  <borders count="2">
    <border>
      <left/>
      <right/>
      <top/>
      <bottom/>
      <diagonal/>
    </border>
    <border>
      <left style="thin">
        <color rgb="00BFC9CA"/>
      </left>
      <right style="thin">
        <color rgb="00BFC9CA"/>
      </right>
      <top style="thin">
        <color rgb="00BFC9CA"/>
      </top>
      <bottom style="thin">
        <color rgb="00BFC9CA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0" fontId="4" fillId="5" borderId="1" applyAlignment="1" pivotButton="0" quotePrefix="0" xfId="0">
      <alignment horizontal="center"/>
    </xf>
    <xf numFmtId="3" fontId="4" fillId="5" borderId="1" applyAlignment="1" pivotButton="0" quotePrefix="0" xfId="0">
      <alignment horizontal="right"/>
    </xf>
    <xf numFmtId="164" fontId="4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4" fillId="6" borderId="1" applyAlignment="1" pivotButton="0" quotePrefix="0" xfId="0">
      <alignment horizontal="center"/>
    </xf>
    <xf numFmtId="3" fontId="4" fillId="6" borderId="1" applyAlignment="1" pivotButton="0" quotePrefix="0" xfId="0">
      <alignment horizontal="right"/>
    </xf>
    <xf numFmtId="164" fontId="4" fillId="6" borderId="1" applyAlignment="1" pivotButton="0" quotePrefix="0" xfId="0">
      <alignment horizontal="center"/>
    </xf>
    <xf numFmtId="165" fontId="4" fillId="5" borderId="1" applyAlignment="1" pivotButton="0" quotePrefix="0" xfId="0">
      <alignment horizontal="center"/>
    </xf>
    <xf numFmtId="0" fontId="4" fillId="7" borderId="1" applyAlignment="1" pivotButton="0" quotePrefix="0" xfId="0">
      <alignment horizontal="left"/>
    </xf>
    <xf numFmtId="0" fontId="4" fillId="7" borderId="1" applyAlignment="1" pivotButton="0" quotePrefix="0" xfId="0">
      <alignment horizontal="center"/>
    </xf>
    <xf numFmtId="3" fontId="4" fillId="7" borderId="1" applyAlignment="1" pivotButton="0" quotePrefix="0" xfId="0">
      <alignment horizontal="right"/>
    </xf>
    <xf numFmtId="164" fontId="4" fillId="7" borderId="1" applyAlignment="1" pivotButton="0" quotePrefix="0" xfId="0">
      <alignment horizontal="center"/>
    </xf>
    <xf numFmtId="165" fontId="4" fillId="7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3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center"/>
    </xf>
    <xf numFmtId="0" fontId="3" fillId="4" borderId="1" pivotButton="0" quotePrefix="0" xfId="0"/>
    <xf numFmtId="3" fontId="3" fillId="4" borderId="1" applyAlignment="1" pivotButton="0" quotePrefix="0" xfId="0">
      <alignment horizontal="right"/>
    </xf>
    <xf numFmtId="164" fontId="3" fillId="4" borderId="1" applyAlignment="1" pivotButton="0" quotePrefix="0" xfId="0">
      <alignment horizontal="center"/>
    </xf>
    <xf numFmtId="0" fontId="3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3" fontId="4" fillId="7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0" fontId="1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/>
    </xf>
    <xf numFmtId="3" fontId="4" fillId="10" borderId="1" applyAlignment="1" pivotButton="0" quotePrefix="0" xfId="0">
      <alignment horizontal="right"/>
    </xf>
    <xf numFmtId="3" fontId="4" fillId="10" borderId="1" applyAlignment="1" pivotButton="0" quotePrefix="0" xfId="0">
      <alignment horizontal="center"/>
    </xf>
    <xf numFmtId="164" fontId="4" fillId="10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wrapText="1"/>
    </xf>
    <xf numFmtId="0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16" customWidth="1" min="3" max="3"/>
    <col width="10" customWidth="1" min="4" max="4"/>
    <col width="14" customWidth="1" min="5" max="5"/>
    <col width="14" customWidth="1" min="6" max="6"/>
    <col width="8" customWidth="1" min="7" max="7"/>
    <col width="28" customWidth="1" min="8" max="8"/>
    <col width="16" customWidth="1" min="9" max="9"/>
    <col width="10" customWidth="1" min="10" max="10"/>
    <col width="14" customWidth="1" min="11" max="11"/>
    <col width="14" customWidth="1" min="12" max="12"/>
    <col width="8" customWidth="1" min="13" max="13"/>
    <col width="11" customWidth="1" min="14" max="14"/>
  </cols>
  <sheetData>
    <row r="1" ht="28" customHeight="1">
      <c r="A1" s="1" t="inlineStr">
        <is>
          <t>RANDOMIZAÇÃO ESTRATIFICADA COM EMPARELHAMENTO PAIRWISE — DISTÂNCIA DE MAHALANOBIS</t>
        </is>
      </c>
    </row>
    <row r="2" ht="18" customHeight="1">
      <c r="A2" s="2" t="inlineStr">
        <is>
          <t>Par</t>
        </is>
      </c>
      <c r="B2" s="3" t="inlineStr">
        <is>
          <t>◼  GRUPO A  ◼</t>
        </is>
      </c>
      <c r="H2" s="4" t="inlineStr">
        <is>
          <t>◼  GRUPO B  ◼</t>
        </is>
      </c>
      <c r="N2" s="2" t="inlineStr">
        <is>
          <t>Dist. Mahal.</t>
        </is>
      </c>
    </row>
    <row r="3" ht="30" customHeight="1">
      <c r="A3" s="5" t="inlineStr">
        <is>
          <t>Par</t>
        </is>
      </c>
      <c r="B3" s="6" t="inlineStr">
        <is>
          <t>Município</t>
        </is>
      </c>
      <c r="C3" s="6" t="inlineStr">
        <is>
          <t>Estrato</t>
        </is>
      </c>
      <c r="D3" s="6" t="inlineStr">
        <is>
          <t>Pop.</t>
        </is>
      </c>
      <c r="E3" s="6" t="inlineStr">
        <is>
          <t>Receita
(R$mil)</t>
        </is>
      </c>
      <c r="F3" s="6" t="inlineStr">
        <is>
          <t>Despesa
(R$mil)</t>
        </is>
      </c>
      <c r="G3" s="6" t="inlineStr">
        <is>
          <t>IDHM</t>
        </is>
      </c>
      <c r="H3" s="7" t="inlineStr">
        <is>
          <t>Município</t>
        </is>
      </c>
      <c r="I3" s="7" t="inlineStr">
        <is>
          <t>Estrato</t>
        </is>
      </c>
      <c r="J3" s="7" t="inlineStr">
        <is>
          <t>Pop.</t>
        </is>
      </c>
      <c r="K3" s="7" t="inlineStr">
        <is>
          <t>Receita
(R$mil)</t>
        </is>
      </c>
      <c r="L3" s="7" t="inlineStr">
        <is>
          <t>Despesa
(R$mil)</t>
        </is>
      </c>
      <c r="M3" s="7" t="inlineStr">
        <is>
          <t>IDHM</t>
        </is>
      </c>
      <c r="N3" s="5" t="inlineStr">
        <is>
          <t>Dist.
Mahal.</t>
        </is>
      </c>
    </row>
    <row r="4">
      <c r="A4" s="8" t="n">
        <v>1</v>
      </c>
      <c r="B4" s="9" t="inlineStr">
        <is>
          <t>Salgadinho</t>
        </is>
      </c>
      <c r="C4" s="10" t="inlineStr">
        <is>
          <t>Q3</t>
        </is>
      </c>
      <c r="D4" s="11" t="n">
        <v>4473</v>
      </c>
      <c r="E4" s="11" t="n">
        <v>14200</v>
      </c>
      <c r="F4" s="11" t="n">
        <v>13400</v>
      </c>
      <c r="G4" s="12" t="n">
        <v>0.536</v>
      </c>
      <c r="H4" s="13" t="inlineStr">
        <is>
          <t>Santa Cecília</t>
        </is>
      </c>
      <c r="I4" s="14" t="inlineStr">
        <is>
          <t>Q3</t>
        </is>
      </c>
      <c r="J4" s="15" t="n">
        <v>4468</v>
      </c>
      <c r="K4" s="15" t="n">
        <v>14200</v>
      </c>
      <c r="L4" s="15" t="n">
        <v>13400</v>
      </c>
      <c r="M4" s="16" t="n">
        <v>0.536</v>
      </c>
      <c r="N4" s="17" t="n">
        <v>0</v>
      </c>
    </row>
    <row r="5">
      <c r="A5" s="8" t="n">
        <v>2</v>
      </c>
      <c r="B5" s="18" t="inlineStr">
        <is>
          <t>Serra Grande</t>
        </is>
      </c>
      <c r="C5" s="19" t="inlineStr">
        <is>
          <t>Q3</t>
        </is>
      </c>
      <c r="D5" s="20" t="n">
        <v>4513</v>
      </c>
      <c r="E5" s="20" t="n">
        <v>14200</v>
      </c>
      <c r="F5" s="20" t="n">
        <v>13400</v>
      </c>
      <c r="G5" s="21" t="n">
        <v>0.548</v>
      </c>
      <c r="H5" s="18" t="inlineStr">
        <is>
          <t>Ouro Velho</t>
        </is>
      </c>
      <c r="I5" s="19" t="inlineStr">
        <is>
          <t>Q3</t>
        </is>
      </c>
      <c r="J5" s="20" t="n">
        <v>4513</v>
      </c>
      <c r="K5" s="20" t="n">
        <v>14200</v>
      </c>
      <c r="L5" s="20" t="n">
        <v>13400</v>
      </c>
      <c r="M5" s="21" t="n">
        <v>0.547</v>
      </c>
      <c r="N5" s="22" t="n">
        <v>0.0599</v>
      </c>
    </row>
    <row r="6">
      <c r="A6" s="8" t="n">
        <v>3</v>
      </c>
      <c r="B6" s="9" t="inlineStr">
        <is>
          <t>Poço de José de Moura</t>
        </is>
      </c>
      <c r="C6" s="10" t="inlineStr">
        <is>
          <t>Q4_Distante</t>
        </is>
      </c>
      <c r="D6" s="11" t="n">
        <v>5658</v>
      </c>
      <c r="E6" s="11" t="n">
        <v>15800</v>
      </c>
      <c r="F6" s="11" t="n">
        <v>14900</v>
      </c>
      <c r="G6" s="12" t="n">
        <v>0.5600000000000001</v>
      </c>
      <c r="H6" s="13" t="inlineStr">
        <is>
          <t>Vieirópolis</t>
        </is>
      </c>
      <c r="I6" s="14" t="inlineStr">
        <is>
          <t>Q4_Distante</t>
        </is>
      </c>
      <c r="J6" s="15" t="n">
        <v>5648</v>
      </c>
      <c r="K6" s="15" t="n">
        <v>15800</v>
      </c>
      <c r="L6" s="15" t="n">
        <v>14900</v>
      </c>
      <c r="M6" s="16" t="n">
        <v>0.5590000000000001</v>
      </c>
      <c r="N6" s="17" t="n">
        <v>0.0599</v>
      </c>
    </row>
    <row r="7">
      <c r="A7" s="8" t="n">
        <v>4</v>
      </c>
      <c r="B7" s="18" t="inlineStr">
        <is>
          <t>Arara</t>
        </is>
      </c>
      <c r="C7" s="19" t="inlineStr">
        <is>
          <t>Q1_Próximo</t>
        </is>
      </c>
      <c r="D7" s="20" t="n">
        <v>11874</v>
      </c>
      <c r="E7" s="20" t="n">
        <v>24200</v>
      </c>
      <c r="F7" s="20" t="n">
        <v>22800</v>
      </c>
      <c r="G7" s="21" t="n">
        <v>0.572</v>
      </c>
      <c r="H7" s="18" t="inlineStr">
        <is>
          <t>Sobrado</t>
        </is>
      </c>
      <c r="I7" s="19" t="inlineStr">
        <is>
          <t>Q1_Próximo</t>
        </is>
      </c>
      <c r="J7" s="20" t="n">
        <v>11963</v>
      </c>
      <c r="K7" s="20" t="n">
        <v>26000</v>
      </c>
      <c r="L7" s="20" t="n">
        <v>24500</v>
      </c>
      <c r="M7" s="21" t="n">
        <v>0.575</v>
      </c>
      <c r="N7" s="22" t="n">
        <v>0.1084</v>
      </c>
    </row>
    <row r="8">
      <c r="A8" s="8" t="n">
        <v>5</v>
      </c>
      <c r="B8" s="9" t="inlineStr">
        <is>
          <t>Itatuba</t>
        </is>
      </c>
      <c r="C8" s="10" t="inlineStr">
        <is>
          <t>Q2</t>
        </is>
      </c>
      <c r="D8" s="11" t="n">
        <v>12108</v>
      </c>
      <c r="E8" s="11" t="n">
        <v>26200</v>
      </c>
      <c r="F8" s="11" t="n">
        <v>24700</v>
      </c>
      <c r="G8" s="12" t="n">
        <v>0.5649999999999999</v>
      </c>
      <c r="H8" s="13" t="inlineStr">
        <is>
          <t>Natuba</t>
        </is>
      </c>
      <c r="I8" s="14" t="inlineStr">
        <is>
          <t>Q2</t>
        </is>
      </c>
      <c r="J8" s="15" t="n">
        <v>12143</v>
      </c>
      <c r="K8" s="15" t="n">
        <v>26300</v>
      </c>
      <c r="L8" s="15" t="n">
        <v>24800</v>
      </c>
      <c r="M8" s="16" t="n">
        <v>0.5629999999999999</v>
      </c>
      <c r="N8" s="17" t="n">
        <v>0.1591</v>
      </c>
    </row>
    <row r="9">
      <c r="A9" s="8" t="n">
        <v>6</v>
      </c>
      <c r="B9" s="18" t="inlineStr">
        <is>
          <t>Várzea</t>
        </is>
      </c>
      <c r="C9" s="19" t="inlineStr">
        <is>
          <t>Q2</t>
        </is>
      </c>
      <c r="D9" s="20" t="n">
        <v>6458</v>
      </c>
      <c r="E9" s="20" t="n">
        <v>16900</v>
      </c>
      <c r="F9" s="20" t="n">
        <v>15900</v>
      </c>
      <c r="G9" s="21" t="n">
        <v>0.572</v>
      </c>
      <c r="H9" s="18" t="inlineStr">
        <is>
          <t>Boa Vista</t>
        </is>
      </c>
      <c r="I9" s="19" t="inlineStr">
        <is>
          <t>Q2</t>
        </is>
      </c>
      <c r="J9" s="20" t="n">
        <v>6423</v>
      </c>
      <c r="K9" s="20" t="n">
        <v>16800</v>
      </c>
      <c r="L9" s="20" t="n">
        <v>15800</v>
      </c>
      <c r="M9" s="21" t="n">
        <v>0.571</v>
      </c>
      <c r="N9" s="22" t="n">
        <v>0.1612</v>
      </c>
    </row>
    <row r="10">
      <c r="A10" s="8" t="n">
        <v>7</v>
      </c>
      <c r="B10" s="9" t="inlineStr">
        <is>
          <t>Pirpirituba</t>
        </is>
      </c>
      <c r="C10" s="10" t="inlineStr">
        <is>
          <t>Q1_Próximo</t>
        </is>
      </c>
      <c r="D10" s="11" t="n">
        <v>9443</v>
      </c>
      <c r="E10" s="11" t="n">
        <v>22000</v>
      </c>
      <c r="F10" s="11" t="n">
        <v>20700</v>
      </c>
      <c r="G10" s="12" t="n">
        <v>0.578</v>
      </c>
      <c r="H10" s="13" t="inlineStr">
        <is>
          <t>Serraria</t>
        </is>
      </c>
      <c r="I10" s="14" t="inlineStr">
        <is>
          <t>Q1_Próximo</t>
        </is>
      </c>
      <c r="J10" s="15" t="n">
        <v>9418</v>
      </c>
      <c r="K10" s="15" t="n">
        <v>21900</v>
      </c>
      <c r="L10" s="15" t="n">
        <v>20600</v>
      </c>
      <c r="M10" s="16" t="n">
        <v>0.58</v>
      </c>
      <c r="N10" s="17" t="n">
        <v>0.1748</v>
      </c>
    </row>
    <row r="11">
      <c r="A11" s="8" t="n">
        <v>8</v>
      </c>
      <c r="B11" s="18" t="inlineStr">
        <is>
          <t>Pilões</t>
        </is>
      </c>
      <c r="C11" s="19" t="inlineStr">
        <is>
          <t>Q1_Próximo</t>
        </is>
      </c>
      <c r="D11" s="20" t="n">
        <v>5978</v>
      </c>
      <c r="E11" s="20" t="n">
        <v>16400</v>
      </c>
      <c r="F11" s="20" t="n">
        <v>15400</v>
      </c>
      <c r="G11" s="21" t="n">
        <v>0.5679999999999999</v>
      </c>
      <c r="H11" s="18" t="inlineStr">
        <is>
          <t>Pilõezinhos</t>
        </is>
      </c>
      <c r="I11" s="19" t="inlineStr">
        <is>
          <t>Q1_Próximo</t>
        </is>
      </c>
      <c r="J11" s="20" t="n">
        <v>6058</v>
      </c>
      <c r="K11" s="20" t="n">
        <v>16500</v>
      </c>
      <c r="L11" s="20" t="n">
        <v>15500</v>
      </c>
      <c r="M11" s="21" t="n">
        <v>0.5669999999999999</v>
      </c>
      <c r="N11" s="22" t="n">
        <v>0.1771</v>
      </c>
    </row>
    <row r="12">
      <c r="A12" s="8" t="n">
        <v>9</v>
      </c>
      <c r="B12" s="9" t="inlineStr">
        <is>
          <t>Aguiar</t>
        </is>
      </c>
      <c r="C12" s="10" t="inlineStr">
        <is>
          <t>Q3</t>
        </is>
      </c>
      <c r="D12" s="11" t="n">
        <v>7158</v>
      </c>
      <c r="E12" s="11" t="n">
        <v>18200</v>
      </c>
      <c r="F12" s="11" t="n">
        <v>17100</v>
      </c>
      <c r="G12" s="12" t="n">
        <v>0.556</v>
      </c>
      <c r="H12" s="13" t="inlineStr">
        <is>
          <t>Santa Cruz</t>
        </is>
      </c>
      <c r="I12" s="14" t="inlineStr">
        <is>
          <t>Q3</t>
        </is>
      </c>
      <c r="J12" s="15" t="n">
        <v>7068</v>
      </c>
      <c r="K12" s="15" t="n">
        <v>18200</v>
      </c>
      <c r="L12" s="15" t="n">
        <v>17100</v>
      </c>
      <c r="M12" s="16" t="n">
        <v>0.553</v>
      </c>
      <c r="N12" s="17" t="n">
        <v>0.1798</v>
      </c>
    </row>
    <row r="13">
      <c r="A13" s="8" t="n">
        <v>10</v>
      </c>
      <c r="B13" s="18" t="inlineStr">
        <is>
          <t>São José de Princesa</t>
        </is>
      </c>
      <c r="C13" s="19" t="inlineStr">
        <is>
          <t>Q4_Distante</t>
        </is>
      </c>
      <c r="D13" s="20" t="n">
        <v>5798</v>
      </c>
      <c r="E13" s="20" t="n">
        <v>16100</v>
      </c>
      <c r="F13" s="20" t="n">
        <v>15200</v>
      </c>
      <c r="G13" s="21" t="n">
        <v>0.55</v>
      </c>
      <c r="H13" s="18" t="inlineStr">
        <is>
          <t>São José da Lagoa Tapada</t>
        </is>
      </c>
      <c r="I13" s="19" t="inlineStr">
        <is>
          <t>Q4_Distante</t>
        </is>
      </c>
      <c r="J13" s="20" t="n">
        <v>6948</v>
      </c>
      <c r="K13" s="20" t="n">
        <v>17900</v>
      </c>
      <c r="L13" s="20" t="n">
        <v>16900</v>
      </c>
      <c r="M13" s="21" t="n">
        <v>0.553</v>
      </c>
      <c r="N13" s="22" t="n">
        <v>0.1917</v>
      </c>
    </row>
    <row r="14">
      <c r="A14" s="8" t="n">
        <v>11</v>
      </c>
      <c r="B14" s="9" t="inlineStr">
        <is>
          <t>Sumé</t>
        </is>
      </c>
      <c r="C14" s="10" t="inlineStr">
        <is>
          <t>Q3</t>
        </is>
      </c>
      <c r="D14" s="11" t="n">
        <v>16848</v>
      </c>
      <c r="E14" s="11" t="n">
        <v>36200</v>
      </c>
      <c r="F14" s="11" t="n">
        <v>34100</v>
      </c>
      <c r="G14" s="12" t="n">
        <v>0.6</v>
      </c>
      <c r="H14" s="13" t="inlineStr">
        <is>
          <t>Teixeira</t>
        </is>
      </c>
      <c r="I14" s="14" t="inlineStr">
        <is>
          <t>Q3</t>
        </is>
      </c>
      <c r="J14" s="15" t="n">
        <v>17888</v>
      </c>
      <c r="K14" s="15" t="n">
        <v>38200</v>
      </c>
      <c r="L14" s="15" t="n">
        <v>36000</v>
      </c>
      <c r="M14" s="16" t="n">
        <v>0.601</v>
      </c>
      <c r="N14" s="17" t="n">
        <v>0.1984</v>
      </c>
    </row>
    <row r="15">
      <c r="A15" s="8" t="n">
        <v>12</v>
      </c>
      <c r="B15" s="18" t="inlineStr">
        <is>
          <t>Sertãozinho</t>
        </is>
      </c>
      <c r="C15" s="19" t="inlineStr">
        <is>
          <t>Q3</t>
        </is>
      </c>
      <c r="D15" s="20" t="n">
        <v>4823</v>
      </c>
      <c r="E15" s="20" t="n">
        <v>14700</v>
      </c>
      <c r="F15" s="20" t="n">
        <v>13800</v>
      </c>
      <c r="G15" s="21" t="n">
        <v>0.548</v>
      </c>
      <c r="H15" s="18" t="inlineStr">
        <is>
          <t>São Francisco</t>
        </is>
      </c>
      <c r="I15" s="19" t="inlineStr">
        <is>
          <t>Q3</t>
        </is>
      </c>
      <c r="J15" s="20" t="n">
        <v>3778</v>
      </c>
      <c r="K15" s="20" t="n">
        <v>13100</v>
      </c>
      <c r="L15" s="20" t="n">
        <v>12300</v>
      </c>
      <c r="M15" s="21" t="n">
        <v>0.543</v>
      </c>
      <c r="N15" s="22" t="n">
        <v>0.2009</v>
      </c>
    </row>
    <row r="16">
      <c r="A16" s="8" t="n">
        <v>13</v>
      </c>
      <c r="B16" s="9" t="inlineStr">
        <is>
          <t>Parari</t>
        </is>
      </c>
      <c r="C16" s="10" t="inlineStr">
        <is>
          <t>Q3</t>
        </is>
      </c>
      <c r="D16" s="11" t="n">
        <v>3458</v>
      </c>
      <c r="E16" s="11" t="n">
        <v>12900</v>
      </c>
      <c r="F16" s="11" t="n">
        <v>12100</v>
      </c>
      <c r="G16" s="12" t="n">
        <v>0.524</v>
      </c>
      <c r="H16" s="13" t="inlineStr">
        <is>
          <t>Santo André</t>
        </is>
      </c>
      <c r="I16" s="14" t="inlineStr">
        <is>
          <t>Q3</t>
        </is>
      </c>
      <c r="J16" s="15" t="n">
        <v>4728</v>
      </c>
      <c r="K16" s="15" t="n">
        <v>14600</v>
      </c>
      <c r="L16" s="15" t="n">
        <v>13700</v>
      </c>
      <c r="M16" s="16" t="n">
        <v>0.53</v>
      </c>
      <c r="N16" s="17" t="n">
        <v>0.204</v>
      </c>
    </row>
    <row r="17">
      <c r="A17" s="8" t="n">
        <v>14</v>
      </c>
      <c r="B17" s="18" t="inlineStr">
        <is>
          <t>Manaíra</t>
        </is>
      </c>
      <c r="C17" s="19" t="inlineStr">
        <is>
          <t>Q4_Distante</t>
        </is>
      </c>
      <c r="D17" s="20" t="n">
        <v>11183</v>
      </c>
      <c r="E17" s="20" t="n">
        <v>24400</v>
      </c>
      <c r="F17" s="20" t="n">
        <v>23000</v>
      </c>
      <c r="G17" s="21" t="n">
        <v>0.573</v>
      </c>
      <c r="H17" s="18" t="inlineStr">
        <is>
          <t>Nova Olinda</t>
        </is>
      </c>
      <c r="I17" s="19" t="inlineStr">
        <is>
          <t>Q4_Distante</t>
        </is>
      </c>
      <c r="J17" s="20" t="n">
        <v>8498</v>
      </c>
      <c r="K17" s="20" t="n">
        <v>20900</v>
      </c>
      <c r="L17" s="20" t="n">
        <v>19700</v>
      </c>
      <c r="M17" s="21" t="n">
        <v>0.5669999999999999</v>
      </c>
      <c r="N17" s="22" t="n">
        <v>0.2329</v>
      </c>
    </row>
    <row r="18">
      <c r="A18" s="8" t="n">
        <v>15</v>
      </c>
      <c r="B18" s="9" t="inlineStr">
        <is>
          <t>Sossego</t>
        </is>
      </c>
      <c r="C18" s="10" t="inlineStr">
        <is>
          <t>Q2</t>
        </is>
      </c>
      <c r="D18" s="11" t="n">
        <v>4623</v>
      </c>
      <c r="E18" s="11" t="n">
        <v>14500</v>
      </c>
      <c r="F18" s="11" t="n">
        <v>13600</v>
      </c>
      <c r="G18" s="12" t="n">
        <v>0.531</v>
      </c>
      <c r="H18" s="13" t="inlineStr">
        <is>
          <t>Cuités</t>
        </is>
      </c>
      <c r="I18" s="14" t="inlineStr">
        <is>
          <t>Q2</t>
        </is>
      </c>
      <c r="J18" s="15" t="n">
        <v>4613</v>
      </c>
      <c r="K18" s="15" t="n">
        <v>14500</v>
      </c>
      <c r="L18" s="15" t="n">
        <v>13600</v>
      </c>
      <c r="M18" s="16" t="n">
        <v>0.535</v>
      </c>
      <c r="N18" s="17" t="n">
        <v>0.2398</v>
      </c>
    </row>
    <row r="19">
      <c r="A19" s="8" t="n">
        <v>16</v>
      </c>
      <c r="B19" s="18" t="inlineStr">
        <is>
          <t>Boqueirão</t>
        </is>
      </c>
      <c r="C19" s="19" t="inlineStr">
        <is>
          <t>Q2</t>
        </is>
      </c>
      <c r="D19" s="20" t="n">
        <v>18512</v>
      </c>
      <c r="E19" s="20" t="n">
        <v>38900</v>
      </c>
      <c r="F19" s="20" t="n">
        <v>36700</v>
      </c>
      <c r="G19" s="21" t="n">
        <v>0.588</v>
      </c>
      <c r="H19" s="18" t="inlineStr">
        <is>
          <t>Taperoá</t>
        </is>
      </c>
      <c r="I19" s="19" t="inlineStr">
        <is>
          <t>Q2</t>
        </is>
      </c>
      <c r="J19" s="20" t="n">
        <v>16193</v>
      </c>
      <c r="K19" s="20" t="n">
        <v>35000</v>
      </c>
      <c r="L19" s="20" t="n">
        <v>33000</v>
      </c>
      <c r="M19" s="21" t="n">
        <v>0.583</v>
      </c>
      <c r="N19" s="22" t="n">
        <v>0.2587</v>
      </c>
    </row>
    <row r="20">
      <c r="A20" s="8" t="n">
        <v>17</v>
      </c>
      <c r="B20" s="9" t="inlineStr">
        <is>
          <t>Pitimbu</t>
        </is>
      </c>
      <c r="C20" s="10" t="inlineStr">
        <is>
          <t>Q1_Próximo</t>
        </is>
      </c>
      <c r="D20" s="11" t="n">
        <v>18698</v>
      </c>
      <c r="E20" s="11" t="n">
        <v>41000</v>
      </c>
      <c r="F20" s="11" t="n">
        <v>38600</v>
      </c>
      <c r="G20" s="12" t="n">
        <v>0.59</v>
      </c>
      <c r="H20" s="13" t="inlineStr">
        <is>
          <t>Belém</t>
        </is>
      </c>
      <c r="I20" s="14" t="inlineStr">
        <is>
          <t>Q1_Próximo</t>
        </is>
      </c>
      <c r="J20" s="15" t="n">
        <v>17018</v>
      </c>
      <c r="K20" s="15" t="n">
        <v>35800</v>
      </c>
      <c r="L20" s="15" t="n">
        <v>33700</v>
      </c>
      <c r="M20" s="16" t="n">
        <v>0.587</v>
      </c>
      <c r="N20" s="17" t="n">
        <v>0.276</v>
      </c>
    </row>
    <row r="21">
      <c r="A21" s="8" t="n">
        <v>18</v>
      </c>
      <c r="B21" s="18" t="inlineStr">
        <is>
          <t>Santa Inês</t>
        </is>
      </c>
      <c r="C21" s="19" t="inlineStr">
        <is>
          <t>Q4_Distante</t>
        </is>
      </c>
      <c r="D21" s="20" t="n">
        <v>5078</v>
      </c>
      <c r="E21" s="20" t="n">
        <v>15200</v>
      </c>
      <c r="F21" s="20" t="n">
        <v>14300</v>
      </c>
      <c r="G21" s="21" t="n">
        <v>0.545</v>
      </c>
      <c r="H21" s="18" t="inlineStr">
        <is>
          <t>Poço Dantas</t>
        </is>
      </c>
      <c r="I21" s="19" t="inlineStr">
        <is>
          <t>Q4_Distante</t>
        </is>
      </c>
      <c r="J21" s="20" t="n">
        <v>5258</v>
      </c>
      <c r="K21" s="20" t="n">
        <v>15300</v>
      </c>
      <c r="L21" s="20" t="n">
        <v>14400</v>
      </c>
      <c r="M21" s="21" t="n">
        <v>0.549</v>
      </c>
      <c r="N21" s="22" t="n">
        <v>0.2825</v>
      </c>
    </row>
    <row r="22">
      <c r="A22" s="8" t="n">
        <v>19</v>
      </c>
      <c r="B22" s="9" t="inlineStr">
        <is>
          <t>Mari</t>
        </is>
      </c>
      <c r="C22" s="10" t="inlineStr">
        <is>
          <t>Q1_Próximo</t>
        </is>
      </c>
      <c r="D22" s="11" t="n">
        <v>22413</v>
      </c>
      <c r="E22" s="11" t="n">
        <v>47800</v>
      </c>
      <c r="F22" s="11" t="n">
        <v>45100</v>
      </c>
      <c r="G22" s="12" t="n">
        <v>0.594</v>
      </c>
      <c r="H22" s="13" t="inlineStr">
        <is>
          <t>Alhandra</t>
        </is>
      </c>
      <c r="I22" s="14" t="inlineStr">
        <is>
          <t>Q1_Próximo</t>
        </is>
      </c>
      <c r="J22" s="15" t="n">
        <v>20855</v>
      </c>
      <c r="K22" s="15" t="n">
        <v>44500</v>
      </c>
      <c r="L22" s="15" t="n">
        <v>42000</v>
      </c>
      <c r="M22" s="16" t="n">
        <v>0.594</v>
      </c>
      <c r="N22" s="17" t="n">
        <v>0.2833</v>
      </c>
    </row>
    <row r="23">
      <c r="A23" s="8" t="n">
        <v>20</v>
      </c>
      <c r="B23" s="18" t="inlineStr">
        <is>
          <t>Araruna</t>
        </is>
      </c>
      <c r="C23" s="19" t="inlineStr">
        <is>
          <t>Q2</t>
        </is>
      </c>
      <c r="D23" s="20" t="n">
        <v>18853</v>
      </c>
      <c r="E23" s="20" t="n">
        <v>39100</v>
      </c>
      <c r="F23" s="20" t="n">
        <v>36900</v>
      </c>
      <c r="G23" s="21" t="n">
        <v>0.601</v>
      </c>
      <c r="H23" s="18" t="inlineStr">
        <is>
          <t>Pocinhos</t>
        </is>
      </c>
      <c r="I23" s="19" t="inlineStr">
        <is>
          <t>Q2</t>
        </is>
      </c>
      <c r="J23" s="20" t="n">
        <v>17503</v>
      </c>
      <c r="K23" s="20" t="n">
        <v>37300</v>
      </c>
      <c r="L23" s="20" t="n">
        <v>35200</v>
      </c>
      <c r="M23" s="21" t="n">
        <v>0.594</v>
      </c>
      <c r="N23" s="22" t="n">
        <v>0.2937</v>
      </c>
    </row>
    <row r="24">
      <c r="A24" s="8" t="n">
        <v>21</v>
      </c>
      <c r="B24" s="9" t="inlineStr">
        <is>
          <t>Mogeiro</t>
        </is>
      </c>
      <c r="C24" s="10" t="inlineStr">
        <is>
          <t>Q1_Próximo</t>
        </is>
      </c>
      <c r="D24" s="11" t="n">
        <v>12568</v>
      </c>
      <c r="E24" s="11" t="n">
        <v>27200</v>
      </c>
      <c r="F24" s="11" t="n">
        <v>25600</v>
      </c>
      <c r="G24" s="12" t="n">
        <v>0.578</v>
      </c>
      <c r="H24" s="13" t="inlineStr">
        <is>
          <t>Curral de Cima</t>
        </is>
      </c>
      <c r="I24" s="14" t="inlineStr">
        <is>
          <t>Q1_Próximo</t>
        </is>
      </c>
      <c r="J24" s="15" t="n">
        <v>9713</v>
      </c>
      <c r="K24" s="15" t="n">
        <v>22100</v>
      </c>
      <c r="L24" s="15" t="n">
        <v>20800</v>
      </c>
      <c r="M24" s="16" t="n">
        <v>0.5669999999999999</v>
      </c>
      <c r="N24" s="17" t="n">
        <v>0.3083</v>
      </c>
    </row>
    <row r="25">
      <c r="A25" s="8" t="n">
        <v>22</v>
      </c>
      <c r="B25" s="18" t="inlineStr">
        <is>
          <t>Picuí</t>
        </is>
      </c>
      <c r="C25" s="19" t="inlineStr">
        <is>
          <t>Q2</t>
        </is>
      </c>
      <c r="D25" s="20" t="n">
        <v>19643</v>
      </c>
      <c r="E25" s="20" t="n">
        <v>41400</v>
      </c>
      <c r="F25" s="20" t="n">
        <v>39000</v>
      </c>
      <c r="G25" s="21" t="n">
        <v>0.604</v>
      </c>
      <c r="H25" s="18" t="inlineStr">
        <is>
          <t>Remígio</t>
        </is>
      </c>
      <c r="I25" s="19" t="inlineStr">
        <is>
          <t>Q2</t>
        </is>
      </c>
      <c r="J25" s="20" t="n">
        <v>18373</v>
      </c>
      <c r="K25" s="20" t="n">
        <v>39200</v>
      </c>
      <c r="L25" s="20" t="n">
        <v>36900</v>
      </c>
      <c r="M25" s="21" t="n">
        <v>0.604</v>
      </c>
      <c r="N25" s="22" t="n">
        <v>0.3307</v>
      </c>
    </row>
    <row r="26">
      <c r="A26" s="8" t="n">
        <v>23</v>
      </c>
      <c r="B26" s="9" t="inlineStr">
        <is>
          <t>São José do Sabugi</t>
        </is>
      </c>
      <c r="C26" s="10" t="inlineStr">
        <is>
          <t>Q3</t>
        </is>
      </c>
      <c r="D26" s="11" t="n">
        <v>5618</v>
      </c>
      <c r="E26" s="11" t="n">
        <v>15800</v>
      </c>
      <c r="F26" s="11" t="n">
        <v>14800</v>
      </c>
      <c r="G26" s="12" t="n">
        <v>0.5580000000000001</v>
      </c>
      <c r="H26" s="13" t="inlineStr">
        <is>
          <t>Mãe d'Água</t>
        </is>
      </c>
      <c r="I26" s="14" t="inlineStr">
        <is>
          <t>Q3</t>
        </is>
      </c>
      <c r="J26" s="15" t="n">
        <v>5513</v>
      </c>
      <c r="K26" s="15" t="n">
        <v>15700</v>
      </c>
      <c r="L26" s="15" t="n">
        <v>14700</v>
      </c>
      <c r="M26" s="16" t="n">
        <v>0.553</v>
      </c>
      <c r="N26" s="17" t="n">
        <v>0.3374</v>
      </c>
    </row>
    <row r="27">
      <c r="A27" s="8" t="n">
        <v>24</v>
      </c>
      <c r="B27" s="18" t="inlineStr">
        <is>
          <t>Monte Horebe</t>
        </is>
      </c>
      <c r="C27" s="19" t="inlineStr">
        <is>
          <t>Q4_Distante</t>
        </is>
      </c>
      <c r="D27" s="20" t="n">
        <v>5813</v>
      </c>
      <c r="E27" s="20" t="n">
        <v>16100</v>
      </c>
      <c r="F27" s="20" t="n">
        <v>15100</v>
      </c>
      <c r="G27" s="21" t="n">
        <v>0.54</v>
      </c>
      <c r="H27" s="18" t="inlineStr">
        <is>
          <t>Bom Jesus</t>
        </is>
      </c>
      <c r="I27" s="19" t="inlineStr">
        <is>
          <t>Q4_Distante</t>
        </is>
      </c>
      <c r="J27" s="20" t="n">
        <v>3538</v>
      </c>
      <c r="K27" s="20" t="n">
        <v>12900</v>
      </c>
      <c r="L27" s="20" t="n">
        <v>12100</v>
      </c>
      <c r="M27" s="21" t="n">
        <v>0.528</v>
      </c>
      <c r="N27" s="22" t="n">
        <v>0.3475</v>
      </c>
    </row>
    <row r="28">
      <c r="A28" s="8" t="n">
        <v>25</v>
      </c>
      <c r="B28" s="9" t="inlineStr">
        <is>
          <t>Damião</t>
        </is>
      </c>
      <c r="C28" s="10" t="inlineStr">
        <is>
          <t>Q2</t>
        </is>
      </c>
      <c r="D28" s="11" t="n">
        <v>5273</v>
      </c>
      <c r="E28" s="11" t="n">
        <v>15400</v>
      </c>
      <c r="F28" s="11" t="n">
        <v>14500</v>
      </c>
      <c r="G28" s="12" t="n">
        <v>0.553</v>
      </c>
      <c r="H28" s="13" t="inlineStr">
        <is>
          <t>Caturité</t>
        </is>
      </c>
      <c r="I28" s="14" t="inlineStr">
        <is>
          <t>Q2</t>
        </is>
      </c>
      <c r="J28" s="15" t="n">
        <v>5098</v>
      </c>
      <c r="K28" s="15" t="n">
        <v>15200</v>
      </c>
      <c r="L28" s="15" t="n">
        <v>14300</v>
      </c>
      <c r="M28" s="16" t="n">
        <v>0.551</v>
      </c>
      <c r="N28" s="17" t="n">
        <v>0.3484</v>
      </c>
    </row>
    <row r="29">
      <c r="A29" s="8" t="n">
        <v>26</v>
      </c>
      <c r="B29" s="18" t="inlineStr">
        <is>
          <t>Massaranduba</t>
        </is>
      </c>
      <c r="C29" s="19" t="inlineStr">
        <is>
          <t>Q1_Próximo</t>
        </is>
      </c>
      <c r="D29" s="20" t="n">
        <v>13753</v>
      </c>
      <c r="E29" s="20" t="n">
        <v>29800</v>
      </c>
      <c r="F29" s="20" t="n">
        <v>28100</v>
      </c>
      <c r="G29" s="21" t="n">
        <v>0.5679999999999999</v>
      </c>
      <c r="H29" s="18" t="inlineStr">
        <is>
          <t>Itapororoca</t>
        </is>
      </c>
      <c r="I29" s="19" t="inlineStr">
        <is>
          <t>Q1_Próximo</t>
        </is>
      </c>
      <c r="J29" s="20" t="n">
        <v>17493</v>
      </c>
      <c r="K29" s="20" t="n">
        <v>37200</v>
      </c>
      <c r="L29" s="20" t="n">
        <v>35100</v>
      </c>
      <c r="M29" s="21" t="n">
        <v>0.578</v>
      </c>
      <c r="N29" s="22" t="n">
        <v>0.3485</v>
      </c>
    </row>
    <row r="30">
      <c r="A30" s="8" t="n">
        <v>27</v>
      </c>
      <c r="B30" s="9" t="inlineStr">
        <is>
          <t>Juripiranga</t>
        </is>
      </c>
      <c r="C30" s="10" t="inlineStr">
        <is>
          <t>Q1_Próximo</t>
        </is>
      </c>
      <c r="D30" s="11" t="n">
        <v>11588</v>
      </c>
      <c r="E30" s="11" t="n">
        <v>25200</v>
      </c>
      <c r="F30" s="11" t="n">
        <v>23700</v>
      </c>
      <c r="G30" s="12" t="n">
        <v>0.5669999999999999</v>
      </c>
      <c r="H30" s="13" t="inlineStr">
        <is>
          <t>Capim</t>
        </is>
      </c>
      <c r="I30" s="14" t="inlineStr">
        <is>
          <t>Q1_Próximo</t>
        </is>
      </c>
      <c r="J30" s="15" t="n">
        <v>8423</v>
      </c>
      <c r="K30" s="15" t="n">
        <v>20200</v>
      </c>
      <c r="L30" s="15" t="n">
        <v>19000</v>
      </c>
      <c r="M30" s="16" t="n">
        <v>0.5580000000000001</v>
      </c>
      <c r="N30" s="17" t="n">
        <v>0.3507</v>
      </c>
    </row>
    <row r="31">
      <c r="A31" s="8" t="n">
        <v>28</v>
      </c>
      <c r="B31" s="18" t="inlineStr">
        <is>
          <t>São José de Piranhas</t>
        </is>
      </c>
      <c r="C31" s="19" t="inlineStr">
        <is>
          <t>Q4_Distante</t>
        </is>
      </c>
      <c r="D31" s="20" t="n">
        <v>18973</v>
      </c>
      <c r="E31" s="20" t="n">
        <v>40500</v>
      </c>
      <c r="F31" s="20" t="n">
        <v>38100</v>
      </c>
      <c r="G31" s="21" t="n">
        <v>0.595</v>
      </c>
      <c r="H31" s="18" t="inlineStr">
        <is>
          <t>Brejo do Cruz</t>
        </is>
      </c>
      <c r="I31" s="19" t="inlineStr">
        <is>
          <t>Q4_Distante</t>
        </is>
      </c>
      <c r="J31" s="20" t="n">
        <v>14998</v>
      </c>
      <c r="K31" s="20" t="n">
        <v>31800</v>
      </c>
      <c r="L31" s="20" t="n">
        <v>29900</v>
      </c>
      <c r="M31" s="21" t="n">
        <v>0.584</v>
      </c>
      <c r="N31" s="22" t="n">
        <v>0.3518</v>
      </c>
    </row>
    <row r="32">
      <c r="A32" s="8" t="n">
        <v>29</v>
      </c>
      <c r="B32" s="9" t="inlineStr">
        <is>
          <t>Mataraca</t>
        </is>
      </c>
      <c r="C32" s="10" t="inlineStr">
        <is>
          <t>Q1_Próximo</t>
        </is>
      </c>
      <c r="D32" s="11" t="n">
        <v>8423</v>
      </c>
      <c r="E32" s="11" t="n">
        <v>23900</v>
      </c>
      <c r="F32" s="11" t="n">
        <v>22500</v>
      </c>
      <c r="G32" s="12" t="n">
        <v>0.5629999999999999</v>
      </c>
      <c r="H32" s="13" t="inlineStr">
        <is>
          <t>Gurinhém</t>
        </is>
      </c>
      <c r="I32" s="14" t="inlineStr">
        <is>
          <t>Q1_Próximo</t>
        </is>
      </c>
      <c r="J32" s="15" t="n">
        <v>14303</v>
      </c>
      <c r="K32" s="15" t="n">
        <v>30800</v>
      </c>
      <c r="L32" s="15" t="n">
        <v>29000</v>
      </c>
      <c r="M32" s="16" t="n">
        <v>0.575</v>
      </c>
      <c r="N32" s="17" t="n">
        <v>0.3531</v>
      </c>
    </row>
    <row r="33">
      <c r="A33" s="8" t="n">
        <v>30</v>
      </c>
      <c r="B33" s="18" t="inlineStr">
        <is>
          <t>Emas</t>
        </is>
      </c>
      <c r="C33" s="19" t="inlineStr">
        <is>
          <t>Q4_Distante</t>
        </is>
      </c>
      <c r="D33" s="20" t="n">
        <v>4823</v>
      </c>
      <c r="E33" s="20" t="n">
        <v>14700</v>
      </c>
      <c r="F33" s="20" t="n">
        <v>13800</v>
      </c>
      <c r="G33" s="21" t="n">
        <v>0.532</v>
      </c>
      <c r="H33" s="18" t="inlineStr">
        <is>
          <t>Brejo dos Santos</t>
        </is>
      </c>
      <c r="I33" s="19" t="inlineStr">
        <is>
          <t>Q4_Distante</t>
        </is>
      </c>
      <c r="J33" s="20" t="n">
        <v>4818</v>
      </c>
      <c r="K33" s="20" t="n">
        <v>14700</v>
      </c>
      <c r="L33" s="20" t="n">
        <v>13800</v>
      </c>
      <c r="M33" s="21" t="n">
        <v>0.538</v>
      </c>
      <c r="N33" s="22" t="n">
        <v>0.3596</v>
      </c>
    </row>
    <row r="34">
      <c r="A34" s="8" t="n">
        <v>31</v>
      </c>
      <c r="B34" s="9" t="inlineStr">
        <is>
          <t>Conceição</t>
        </is>
      </c>
      <c r="C34" s="10" t="inlineStr">
        <is>
          <t>Q3</t>
        </is>
      </c>
      <c r="D34" s="11" t="n">
        <v>19873</v>
      </c>
      <c r="E34" s="11" t="n">
        <v>41500</v>
      </c>
      <c r="F34" s="11" t="n">
        <v>39100</v>
      </c>
      <c r="G34" s="12" t="n">
        <v>0.598</v>
      </c>
      <c r="H34" s="13" t="inlineStr">
        <is>
          <t>Itaporanga</t>
        </is>
      </c>
      <c r="I34" s="14" t="inlineStr">
        <is>
          <t>Q3</t>
        </is>
      </c>
      <c r="J34" s="15" t="n">
        <v>24383</v>
      </c>
      <c r="K34" s="15" t="n">
        <v>51800</v>
      </c>
      <c r="L34" s="15" t="n">
        <v>48800</v>
      </c>
      <c r="M34" s="16" t="n">
        <v>0.606</v>
      </c>
      <c r="N34" s="17" t="n">
        <v>0.3658</v>
      </c>
    </row>
    <row r="35">
      <c r="A35" s="8" t="n">
        <v>32</v>
      </c>
      <c r="B35" s="18" t="inlineStr">
        <is>
          <t>Pilar</t>
        </is>
      </c>
      <c r="C35" s="19" t="inlineStr">
        <is>
          <t>Q1_Próximo</t>
        </is>
      </c>
      <c r="D35" s="20" t="n">
        <v>11298</v>
      </c>
      <c r="E35" s="20" t="n">
        <v>24700</v>
      </c>
      <c r="F35" s="20" t="n">
        <v>23300</v>
      </c>
      <c r="G35" s="21" t="n">
        <v>0.579</v>
      </c>
      <c r="H35" s="18" t="inlineStr">
        <is>
          <t>São Miguel de Taipu</t>
        </is>
      </c>
      <c r="I35" s="19" t="inlineStr">
        <is>
          <t>Q1_Próximo</t>
        </is>
      </c>
      <c r="J35" s="20" t="n">
        <v>8703</v>
      </c>
      <c r="K35" s="20" t="n">
        <v>21000</v>
      </c>
      <c r="L35" s="20" t="n">
        <v>19800</v>
      </c>
      <c r="M35" s="21" t="n">
        <v>0.5669999999999999</v>
      </c>
      <c r="N35" s="22" t="n">
        <v>0.3719</v>
      </c>
    </row>
    <row r="36">
      <c r="A36" s="8" t="n">
        <v>33</v>
      </c>
      <c r="B36" s="9" t="inlineStr">
        <is>
          <t>Prata</t>
        </is>
      </c>
      <c r="C36" s="10" t="inlineStr">
        <is>
          <t>Q3</t>
        </is>
      </c>
      <c r="D36" s="11" t="n">
        <v>4823</v>
      </c>
      <c r="E36" s="11" t="n">
        <v>14700</v>
      </c>
      <c r="F36" s="11" t="n">
        <v>13800</v>
      </c>
      <c r="G36" s="12" t="n">
        <v>0.537</v>
      </c>
      <c r="H36" s="13" t="inlineStr">
        <is>
          <t>Congo</t>
        </is>
      </c>
      <c r="I36" s="14" t="inlineStr">
        <is>
          <t>Q3</t>
        </is>
      </c>
      <c r="J36" s="15" t="n">
        <v>5923</v>
      </c>
      <c r="K36" s="15" t="n">
        <v>16500</v>
      </c>
      <c r="L36" s="15" t="n">
        <v>15500</v>
      </c>
      <c r="M36" s="16" t="n">
        <v>0.538</v>
      </c>
      <c r="N36" s="17" t="n">
        <v>0.3779</v>
      </c>
    </row>
    <row r="37">
      <c r="A37" s="8" t="n">
        <v>34</v>
      </c>
      <c r="B37" s="18" t="inlineStr">
        <is>
          <t>Santa Helena</t>
        </is>
      </c>
      <c r="C37" s="19" t="inlineStr">
        <is>
          <t>Q4_Distante</t>
        </is>
      </c>
      <c r="D37" s="20" t="n">
        <v>5383</v>
      </c>
      <c r="E37" s="20" t="n">
        <v>15500</v>
      </c>
      <c r="F37" s="20" t="n">
        <v>14600</v>
      </c>
      <c r="G37" s="21" t="n">
        <v>0.554</v>
      </c>
      <c r="H37" s="18" t="inlineStr">
        <is>
          <t>Cajazeirinhas</t>
        </is>
      </c>
      <c r="I37" s="19" t="inlineStr">
        <is>
          <t>Q4_Distante</t>
        </is>
      </c>
      <c r="J37" s="20" t="n">
        <v>5498</v>
      </c>
      <c r="K37" s="20" t="n">
        <v>15600</v>
      </c>
      <c r="L37" s="20" t="n">
        <v>14700</v>
      </c>
      <c r="M37" s="21" t="n">
        <v>0.5600000000000001</v>
      </c>
      <c r="N37" s="22" t="n">
        <v>0.3826</v>
      </c>
    </row>
    <row r="38">
      <c r="A38" s="8" t="n">
        <v>35</v>
      </c>
      <c r="B38" s="9" t="inlineStr">
        <is>
          <t>Cubati</t>
        </is>
      </c>
      <c r="C38" s="10" t="inlineStr">
        <is>
          <t>Q2</t>
        </is>
      </c>
      <c r="D38" s="11" t="n">
        <v>7028</v>
      </c>
      <c r="E38" s="11" t="n">
        <v>18100</v>
      </c>
      <c r="F38" s="11" t="n">
        <v>17000</v>
      </c>
      <c r="G38" s="12" t="n">
        <v>0.569</v>
      </c>
      <c r="H38" s="13" t="inlineStr">
        <is>
          <t>Areial</t>
        </is>
      </c>
      <c r="I38" s="14" t="inlineStr">
        <is>
          <t>Q2</t>
        </is>
      </c>
      <c r="J38" s="15" t="n">
        <v>9895</v>
      </c>
      <c r="K38" s="15" t="n">
        <v>21500</v>
      </c>
      <c r="L38" s="15" t="n">
        <v>20200</v>
      </c>
      <c r="M38" s="16" t="n">
        <v>0.582</v>
      </c>
      <c r="N38" s="17" t="n">
        <v>0.3837</v>
      </c>
    </row>
    <row r="39">
      <c r="A39" s="8" t="n">
        <v>36</v>
      </c>
      <c r="B39" s="18" t="inlineStr">
        <is>
          <t>Santa Teresinha</t>
        </is>
      </c>
      <c r="C39" s="19" t="inlineStr">
        <is>
          <t>Q3</t>
        </is>
      </c>
      <c r="D39" s="20" t="n">
        <v>4208</v>
      </c>
      <c r="E39" s="20" t="n">
        <v>13700</v>
      </c>
      <c r="F39" s="20" t="n">
        <v>12900</v>
      </c>
      <c r="G39" s="21" t="n">
        <v>0.546</v>
      </c>
      <c r="H39" s="18" t="inlineStr">
        <is>
          <t>Tenório</t>
        </is>
      </c>
      <c r="I39" s="19" t="inlineStr">
        <is>
          <t>Q3</t>
        </is>
      </c>
      <c r="J39" s="20" t="n">
        <v>4048</v>
      </c>
      <c r="K39" s="20" t="n">
        <v>13500</v>
      </c>
      <c r="L39" s="20" t="n">
        <v>12700</v>
      </c>
      <c r="M39" s="21" t="n">
        <v>0.547</v>
      </c>
      <c r="N39" s="22" t="n">
        <v>0.3882</v>
      </c>
    </row>
    <row r="40">
      <c r="A40" s="8" t="n">
        <v>37</v>
      </c>
      <c r="B40" s="9" t="inlineStr">
        <is>
          <t>Serra Redonda</t>
        </is>
      </c>
      <c r="C40" s="10" t="inlineStr">
        <is>
          <t>Q2</t>
        </is>
      </c>
      <c r="D40" s="11" t="n">
        <v>6558</v>
      </c>
      <c r="E40" s="11" t="n">
        <v>17000</v>
      </c>
      <c r="F40" s="11" t="n">
        <v>16000</v>
      </c>
      <c r="G40" s="12" t="n">
        <v>0.576</v>
      </c>
      <c r="H40" s="13" t="inlineStr">
        <is>
          <t>Olivedos</t>
        </is>
      </c>
      <c r="I40" s="14" t="inlineStr">
        <is>
          <t>Q2</t>
        </is>
      </c>
      <c r="J40" s="15" t="n">
        <v>5168</v>
      </c>
      <c r="K40" s="15" t="n">
        <v>15300</v>
      </c>
      <c r="L40" s="15" t="n">
        <v>14400</v>
      </c>
      <c r="M40" s="16" t="n">
        <v>0.5649999999999999</v>
      </c>
      <c r="N40" s="17" t="n">
        <v>0.3914</v>
      </c>
    </row>
    <row r="41">
      <c r="A41" s="8" t="n">
        <v>38</v>
      </c>
      <c r="B41" s="18" t="inlineStr">
        <is>
          <t>Bom Sucesso</t>
        </is>
      </c>
      <c r="C41" s="19" t="inlineStr">
        <is>
          <t>Q3</t>
        </is>
      </c>
      <c r="D41" s="20" t="n">
        <v>5673</v>
      </c>
      <c r="E41" s="20" t="n">
        <v>15900</v>
      </c>
      <c r="F41" s="20" t="n">
        <v>14900</v>
      </c>
      <c r="G41" s="21" t="n">
        <v>0.545</v>
      </c>
      <c r="H41" s="18" t="inlineStr">
        <is>
          <t>Catingueira</t>
        </is>
      </c>
      <c r="I41" s="19" t="inlineStr">
        <is>
          <t>Q3</t>
        </is>
      </c>
      <c r="J41" s="20" t="n">
        <v>6678</v>
      </c>
      <c r="K41" s="20" t="n">
        <v>17300</v>
      </c>
      <c r="L41" s="20" t="n">
        <v>16200</v>
      </c>
      <c r="M41" s="21" t="n">
        <v>0.552</v>
      </c>
      <c r="N41" s="22" t="n">
        <v>0.4019</v>
      </c>
    </row>
    <row r="42">
      <c r="A42" s="8" t="n">
        <v>39</v>
      </c>
      <c r="B42" s="9" t="inlineStr">
        <is>
          <t>Santa Luzia</t>
        </is>
      </c>
      <c r="C42" s="10" t="inlineStr">
        <is>
          <t>Q3</t>
        </is>
      </c>
      <c r="D42" s="11" t="n">
        <v>14783</v>
      </c>
      <c r="E42" s="11" t="n">
        <v>32200</v>
      </c>
      <c r="F42" s="11" t="n">
        <v>30300</v>
      </c>
      <c r="G42" s="12" t="n">
        <v>0.586</v>
      </c>
      <c r="H42" s="13" t="inlineStr">
        <is>
          <t>Tavares</t>
        </is>
      </c>
      <c r="I42" s="14" t="inlineStr">
        <is>
          <t>Q3</t>
        </is>
      </c>
      <c r="J42" s="15" t="n">
        <v>14968</v>
      </c>
      <c r="K42" s="15" t="n">
        <v>32600</v>
      </c>
      <c r="L42" s="15" t="n">
        <v>30700</v>
      </c>
      <c r="M42" s="16" t="n">
        <v>0.582</v>
      </c>
      <c r="N42" s="17" t="n">
        <v>0.4124</v>
      </c>
    </row>
    <row r="43">
      <c r="A43" s="8" t="n">
        <v>40</v>
      </c>
      <c r="B43" s="18" t="inlineStr">
        <is>
          <t>São José dos Cordeiros</t>
        </is>
      </c>
      <c r="C43" s="19" t="inlineStr">
        <is>
          <t>Q3</t>
        </is>
      </c>
      <c r="D43" s="20" t="n">
        <v>4778</v>
      </c>
      <c r="E43" s="20" t="n">
        <v>14600</v>
      </c>
      <c r="F43" s="20" t="n">
        <v>13700</v>
      </c>
      <c r="G43" s="21" t="n">
        <v>0.526</v>
      </c>
      <c r="H43" s="18" t="inlineStr">
        <is>
          <t>Desterro</t>
        </is>
      </c>
      <c r="I43" s="19" t="inlineStr">
        <is>
          <t>Q3</t>
        </is>
      </c>
      <c r="J43" s="20" t="n">
        <v>7928</v>
      </c>
      <c r="K43" s="20" t="n">
        <v>19600</v>
      </c>
      <c r="L43" s="20" t="n">
        <v>18400</v>
      </c>
      <c r="M43" s="21" t="n">
        <v>0.541</v>
      </c>
      <c r="N43" s="22" t="n">
        <v>0.4157</v>
      </c>
    </row>
    <row r="44">
      <c r="A44" s="8" t="n">
        <v>41</v>
      </c>
      <c r="B44" s="9" t="inlineStr">
        <is>
          <t>Cachoeira dos Índios</t>
        </is>
      </c>
      <c r="C44" s="10" t="inlineStr">
        <is>
          <t>Q4_Distante</t>
        </is>
      </c>
      <c r="D44" s="11" t="n">
        <v>8468</v>
      </c>
      <c r="E44" s="11" t="n">
        <v>20400</v>
      </c>
      <c r="F44" s="11" t="n">
        <v>19200</v>
      </c>
      <c r="G44" s="12" t="n">
        <v>0.556</v>
      </c>
      <c r="H44" s="13" t="inlineStr">
        <is>
          <t>Triunfo</t>
        </is>
      </c>
      <c r="I44" s="14" t="inlineStr">
        <is>
          <t>Q4_Distante</t>
        </is>
      </c>
      <c r="J44" s="15" t="n">
        <v>11743</v>
      </c>
      <c r="K44" s="15" t="n">
        <v>25700</v>
      </c>
      <c r="L44" s="15" t="n">
        <v>24200</v>
      </c>
      <c r="M44" s="16" t="n">
        <v>0.571</v>
      </c>
      <c r="N44" s="17" t="n">
        <v>0.4175</v>
      </c>
    </row>
    <row r="45">
      <c r="A45" s="8" t="n">
        <v>42</v>
      </c>
      <c r="B45" s="18" t="inlineStr">
        <is>
          <t>Cacimba de Dentro</t>
        </is>
      </c>
      <c r="C45" s="19" t="inlineStr">
        <is>
          <t>Q2</t>
        </is>
      </c>
      <c r="D45" s="20" t="n">
        <v>15448</v>
      </c>
      <c r="E45" s="20" t="n">
        <v>33500</v>
      </c>
      <c r="F45" s="20" t="n">
        <v>31500</v>
      </c>
      <c r="G45" s="21" t="n">
        <v>0.579</v>
      </c>
      <c r="H45" s="18" t="inlineStr">
        <is>
          <t>Fagundes</t>
        </is>
      </c>
      <c r="I45" s="19" t="inlineStr">
        <is>
          <t>Q2</t>
        </is>
      </c>
      <c r="J45" s="20" t="n">
        <v>11483</v>
      </c>
      <c r="K45" s="20" t="n">
        <v>25100</v>
      </c>
      <c r="L45" s="20" t="n">
        <v>23600</v>
      </c>
      <c r="M45" s="21" t="n">
        <v>0.5669999999999999</v>
      </c>
      <c r="N45" s="22" t="n">
        <v>0.4217</v>
      </c>
    </row>
    <row r="46">
      <c r="A46" s="8" t="n">
        <v>43</v>
      </c>
      <c r="B46" s="9" t="inlineStr">
        <is>
          <t>Riacho dos Cavalos</t>
        </is>
      </c>
      <c r="C46" s="10" t="inlineStr">
        <is>
          <t>Q4_Distante</t>
        </is>
      </c>
      <c r="D46" s="11" t="n">
        <v>7753</v>
      </c>
      <c r="E46" s="11" t="n">
        <v>19200</v>
      </c>
      <c r="F46" s="11" t="n">
        <v>18100</v>
      </c>
      <c r="G46" s="12" t="n">
        <v>0.5580000000000001</v>
      </c>
      <c r="H46" s="13" t="inlineStr">
        <is>
          <t>Olho d'Água</t>
        </is>
      </c>
      <c r="I46" s="14" t="inlineStr">
        <is>
          <t>Q4_Distante</t>
        </is>
      </c>
      <c r="J46" s="15" t="n">
        <v>8843</v>
      </c>
      <c r="K46" s="15" t="n">
        <v>21300</v>
      </c>
      <c r="L46" s="15" t="n">
        <v>20100</v>
      </c>
      <c r="M46" s="16" t="n">
        <v>0.5649999999999999</v>
      </c>
      <c r="N46" s="17" t="n">
        <v>0.4258</v>
      </c>
    </row>
    <row r="47">
      <c r="A47" s="23" t="inlineStr">
        <is>
          <t>MÉDIA</t>
        </is>
      </c>
      <c r="B47" s="24" t="inlineStr"/>
      <c r="C47" s="24" t="inlineStr"/>
      <c r="D47" s="25">
        <f>AVERAGE(D4:D46)</f>
        <v/>
      </c>
      <c r="E47" s="25">
        <f>AVERAGE(E4:E46)</f>
        <v/>
      </c>
      <c r="F47" s="25">
        <f>AVERAGE(F4:F46)</f>
        <v/>
      </c>
      <c r="G47" s="26">
        <f>AVERAGE(G4:G46)</f>
        <v/>
      </c>
      <c r="H47" s="27" t="inlineStr"/>
      <c r="I47" s="27" t="inlineStr"/>
      <c r="J47" s="28">
        <f>AVERAGE(J4:J46)</f>
        <v/>
      </c>
      <c r="K47" s="28">
        <f>AVERAGE(K4:K46)</f>
        <v/>
      </c>
      <c r="L47" s="28">
        <f>AVERAGE(L4:L46)</f>
        <v/>
      </c>
      <c r="M47" s="29">
        <f>AVERAGE(M4:M46)</f>
        <v/>
      </c>
      <c r="N47" s="30" t="inlineStr"/>
    </row>
  </sheetData>
  <mergeCells count="5">
    <mergeCell ref="B2:G2"/>
    <mergeCell ref="A2"/>
    <mergeCell ref="N2"/>
    <mergeCell ref="H2:M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16" customWidth="1" min="3" max="3"/>
    <col width="12" customWidth="1" min="4" max="4"/>
    <col width="15" customWidth="1" min="5" max="5"/>
    <col width="15" customWidth="1" min="6" max="6"/>
    <col width="10" customWidth="1" min="7" max="7"/>
    <col width="8" customWidth="1" min="8" max="8"/>
    <col width="11" customWidth="1" min="9" max="9"/>
  </cols>
  <sheetData>
    <row r="1" ht="25" customHeight="1">
      <c r="A1" s="31" t="inlineStr">
        <is>
          <t>GRUPO A — 43 MUNICÍPIOS RANDOMIZADOS</t>
        </is>
      </c>
    </row>
    <row r="2" ht="30" customHeight="1">
      <c r="A2" s="6" t="inlineStr">
        <is>
          <t>Par</t>
        </is>
      </c>
      <c r="B2" s="6" t="inlineStr">
        <is>
          <t>Município</t>
        </is>
      </c>
      <c r="C2" s="6" t="inlineStr">
        <is>
          <t>Estrato Dist.</t>
        </is>
      </c>
      <c r="D2" s="6" t="inlineStr">
        <is>
          <t>Pop. (2022)</t>
        </is>
      </c>
      <c r="E2" s="6" t="inlineStr">
        <is>
          <t>Receita Corrente
(R$ mil)</t>
        </is>
      </c>
      <c r="F2" s="6" t="inlineStr">
        <is>
          <t>Despesa Corrente
(R$ mil)</t>
        </is>
      </c>
      <c r="G2" s="6" t="inlineStr">
        <is>
          <t>Dist. Capital
(km)</t>
        </is>
      </c>
      <c r="H2" s="6" t="inlineStr">
        <is>
          <t>IDHM</t>
        </is>
      </c>
      <c r="I2" s="6" t="inlineStr">
        <is>
          <t>Dist. Mahal.</t>
        </is>
      </c>
    </row>
    <row r="3">
      <c r="A3" s="19" t="n">
        <v>1</v>
      </c>
      <c r="B3" s="18" t="inlineStr">
        <is>
          <t>Salgadinho</t>
        </is>
      </c>
      <c r="C3" s="19" t="inlineStr">
        <is>
          <t>Q3</t>
        </is>
      </c>
      <c r="D3" s="20" t="n">
        <v>4473</v>
      </c>
      <c r="E3" s="20" t="n">
        <v>14200</v>
      </c>
      <c r="F3" s="20" t="n">
        <v>13400</v>
      </c>
      <c r="G3" s="32" t="n">
        <v>250</v>
      </c>
      <c r="H3" s="21" t="n">
        <v>0.536</v>
      </c>
      <c r="I3" s="22" t="n">
        <v>0</v>
      </c>
    </row>
    <row r="4">
      <c r="A4" s="10" t="n">
        <v>2</v>
      </c>
      <c r="B4" s="9" t="inlineStr">
        <is>
          <t>Serra Grande</t>
        </is>
      </c>
      <c r="C4" s="10" t="inlineStr">
        <is>
          <t>Q3</t>
        </is>
      </c>
      <c r="D4" s="11" t="n">
        <v>4513</v>
      </c>
      <c r="E4" s="11" t="n">
        <v>14200</v>
      </c>
      <c r="F4" s="11" t="n">
        <v>13400</v>
      </c>
      <c r="G4" s="33" t="n">
        <v>285</v>
      </c>
      <c r="H4" s="12" t="n">
        <v>0.548</v>
      </c>
      <c r="I4" s="17" t="n">
        <v>0.0599</v>
      </c>
    </row>
    <row r="5">
      <c r="A5" s="19" t="n">
        <v>3</v>
      </c>
      <c r="B5" s="18" t="inlineStr">
        <is>
          <t>Poço de José de Moura</t>
        </is>
      </c>
      <c r="C5" s="19" t="inlineStr">
        <is>
          <t>Q4_Distante</t>
        </is>
      </c>
      <c r="D5" s="20" t="n">
        <v>5658</v>
      </c>
      <c r="E5" s="20" t="n">
        <v>15800</v>
      </c>
      <c r="F5" s="20" t="n">
        <v>14900</v>
      </c>
      <c r="G5" s="32" t="n">
        <v>490</v>
      </c>
      <c r="H5" s="21" t="n">
        <v>0.5600000000000001</v>
      </c>
      <c r="I5" s="22" t="n">
        <v>0.0599</v>
      </c>
    </row>
    <row r="6">
      <c r="A6" s="10" t="n">
        <v>4</v>
      </c>
      <c r="B6" s="9" t="inlineStr">
        <is>
          <t>Arara</t>
        </is>
      </c>
      <c r="C6" s="10" t="inlineStr">
        <is>
          <t>Q1_Próximo</t>
        </is>
      </c>
      <c r="D6" s="11" t="n">
        <v>11874</v>
      </c>
      <c r="E6" s="11" t="n">
        <v>24200</v>
      </c>
      <c r="F6" s="11" t="n">
        <v>22800</v>
      </c>
      <c r="G6" s="33" t="n">
        <v>130</v>
      </c>
      <c r="H6" s="12" t="n">
        <v>0.572</v>
      </c>
      <c r="I6" s="17" t="n">
        <v>0.1084</v>
      </c>
    </row>
    <row r="7">
      <c r="A7" s="19" t="n">
        <v>5</v>
      </c>
      <c r="B7" s="18" t="inlineStr">
        <is>
          <t>Itatuba</t>
        </is>
      </c>
      <c r="C7" s="19" t="inlineStr">
        <is>
          <t>Q2</t>
        </is>
      </c>
      <c r="D7" s="20" t="n">
        <v>12108</v>
      </c>
      <c r="E7" s="20" t="n">
        <v>26200</v>
      </c>
      <c r="F7" s="20" t="n">
        <v>24700</v>
      </c>
      <c r="G7" s="32" t="n">
        <v>165</v>
      </c>
      <c r="H7" s="21" t="n">
        <v>0.5649999999999999</v>
      </c>
      <c r="I7" s="22" t="n">
        <v>0.1591</v>
      </c>
    </row>
    <row r="8">
      <c r="A8" s="10" t="n">
        <v>6</v>
      </c>
      <c r="B8" s="9" t="inlineStr">
        <is>
          <t>Várzea</t>
        </is>
      </c>
      <c r="C8" s="10" t="inlineStr">
        <is>
          <t>Q2</t>
        </is>
      </c>
      <c r="D8" s="11" t="n">
        <v>6458</v>
      </c>
      <c r="E8" s="11" t="n">
        <v>16900</v>
      </c>
      <c r="F8" s="11" t="n">
        <v>15900</v>
      </c>
      <c r="G8" s="33" t="n">
        <v>235</v>
      </c>
      <c r="H8" s="12" t="n">
        <v>0.572</v>
      </c>
      <c r="I8" s="17" t="n">
        <v>0.1612</v>
      </c>
    </row>
    <row r="9">
      <c r="A9" s="19" t="n">
        <v>7</v>
      </c>
      <c r="B9" s="18" t="inlineStr">
        <is>
          <t>Pirpirituba</t>
        </is>
      </c>
      <c r="C9" s="19" t="inlineStr">
        <is>
          <t>Q1_Próximo</t>
        </is>
      </c>
      <c r="D9" s="20" t="n">
        <v>9443</v>
      </c>
      <c r="E9" s="20" t="n">
        <v>22000</v>
      </c>
      <c r="F9" s="20" t="n">
        <v>20700</v>
      </c>
      <c r="G9" s="32" t="n">
        <v>100</v>
      </c>
      <c r="H9" s="21" t="n">
        <v>0.578</v>
      </c>
      <c r="I9" s="22" t="n">
        <v>0.1748</v>
      </c>
    </row>
    <row r="10">
      <c r="A10" s="10" t="n">
        <v>8</v>
      </c>
      <c r="B10" s="9" t="inlineStr">
        <is>
          <t>Pilões</t>
        </is>
      </c>
      <c r="C10" s="10" t="inlineStr">
        <is>
          <t>Q1_Próximo</t>
        </is>
      </c>
      <c r="D10" s="11" t="n">
        <v>5978</v>
      </c>
      <c r="E10" s="11" t="n">
        <v>16400</v>
      </c>
      <c r="F10" s="11" t="n">
        <v>15400</v>
      </c>
      <c r="G10" s="33" t="n">
        <v>135</v>
      </c>
      <c r="H10" s="12" t="n">
        <v>0.5679999999999999</v>
      </c>
      <c r="I10" s="17" t="n">
        <v>0.1771</v>
      </c>
    </row>
    <row r="11">
      <c r="A11" s="19" t="n">
        <v>9</v>
      </c>
      <c r="B11" s="18" t="inlineStr">
        <is>
          <t>Aguiar</t>
        </is>
      </c>
      <c r="C11" s="19" t="inlineStr">
        <is>
          <t>Q3</t>
        </is>
      </c>
      <c r="D11" s="20" t="n">
        <v>7158</v>
      </c>
      <c r="E11" s="20" t="n">
        <v>18200</v>
      </c>
      <c r="F11" s="20" t="n">
        <v>17100</v>
      </c>
      <c r="G11" s="32" t="n">
        <v>310</v>
      </c>
      <c r="H11" s="21" t="n">
        <v>0.556</v>
      </c>
      <c r="I11" s="22" t="n">
        <v>0.1798</v>
      </c>
    </row>
    <row r="12">
      <c r="A12" s="10" t="n">
        <v>10</v>
      </c>
      <c r="B12" s="9" t="inlineStr">
        <is>
          <t>São José de Princesa</t>
        </is>
      </c>
      <c r="C12" s="10" t="inlineStr">
        <is>
          <t>Q4_Distante</t>
        </is>
      </c>
      <c r="D12" s="11" t="n">
        <v>5798</v>
      </c>
      <c r="E12" s="11" t="n">
        <v>16100</v>
      </c>
      <c r="F12" s="11" t="n">
        <v>15200</v>
      </c>
      <c r="G12" s="33" t="n">
        <v>405</v>
      </c>
      <c r="H12" s="12" t="n">
        <v>0.55</v>
      </c>
      <c r="I12" s="17" t="n">
        <v>0.1917</v>
      </c>
    </row>
    <row r="13">
      <c r="A13" s="19" t="n">
        <v>11</v>
      </c>
      <c r="B13" s="18" t="inlineStr">
        <is>
          <t>Sumé</t>
        </is>
      </c>
      <c r="C13" s="19" t="inlineStr">
        <is>
          <t>Q3</t>
        </is>
      </c>
      <c r="D13" s="20" t="n">
        <v>16848</v>
      </c>
      <c r="E13" s="20" t="n">
        <v>36200</v>
      </c>
      <c r="F13" s="20" t="n">
        <v>34100</v>
      </c>
      <c r="G13" s="32" t="n">
        <v>255</v>
      </c>
      <c r="H13" s="21" t="n">
        <v>0.6</v>
      </c>
      <c r="I13" s="22" t="n">
        <v>0.1984</v>
      </c>
    </row>
    <row r="14">
      <c r="A14" s="10" t="n">
        <v>12</v>
      </c>
      <c r="B14" s="9" t="inlineStr">
        <is>
          <t>Sertãozinho</t>
        </is>
      </c>
      <c r="C14" s="10" t="inlineStr">
        <is>
          <t>Q3</t>
        </is>
      </c>
      <c r="D14" s="11" t="n">
        <v>4823</v>
      </c>
      <c r="E14" s="11" t="n">
        <v>14700</v>
      </c>
      <c r="F14" s="11" t="n">
        <v>13800</v>
      </c>
      <c r="G14" s="33" t="n">
        <v>330</v>
      </c>
      <c r="H14" s="12" t="n">
        <v>0.548</v>
      </c>
      <c r="I14" s="17" t="n">
        <v>0.2009</v>
      </c>
    </row>
    <row r="15">
      <c r="A15" s="19" t="n">
        <v>13</v>
      </c>
      <c r="B15" s="18" t="inlineStr">
        <is>
          <t>Parari</t>
        </is>
      </c>
      <c r="C15" s="19" t="inlineStr">
        <is>
          <t>Q3</t>
        </is>
      </c>
      <c r="D15" s="20" t="n">
        <v>3458</v>
      </c>
      <c r="E15" s="20" t="n">
        <v>12900</v>
      </c>
      <c r="F15" s="20" t="n">
        <v>12100</v>
      </c>
      <c r="G15" s="32" t="n">
        <v>240</v>
      </c>
      <c r="H15" s="21" t="n">
        <v>0.524</v>
      </c>
      <c r="I15" s="22" t="n">
        <v>0.204</v>
      </c>
    </row>
    <row r="16">
      <c r="A16" s="10" t="n">
        <v>14</v>
      </c>
      <c r="B16" s="9" t="inlineStr">
        <is>
          <t>Manaíra</t>
        </is>
      </c>
      <c r="C16" s="10" t="inlineStr">
        <is>
          <t>Q4_Distante</t>
        </is>
      </c>
      <c r="D16" s="11" t="n">
        <v>11183</v>
      </c>
      <c r="E16" s="11" t="n">
        <v>24400</v>
      </c>
      <c r="F16" s="11" t="n">
        <v>23000</v>
      </c>
      <c r="G16" s="33" t="n">
        <v>395</v>
      </c>
      <c r="H16" s="12" t="n">
        <v>0.573</v>
      </c>
      <c r="I16" s="17" t="n">
        <v>0.2329</v>
      </c>
    </row>
    <row r="17">
      <c r="A17" s="19" t="n">
        <v>15</v>
      </c>
      <c r="B17" s="18" t="inlineStr">
        <is>
          <t>Sossego</t>
        </is>
      </c>
      <c r="C17" s="19" t="inlineStr">
        <is>
          <t>Q2</t>
        </is>
      </c>
      <c r="D17" s="20" t="n">
        <v>4623</v>
      </c>
      <c r="E17" s="20" t="n">
        <v>14500</v>
      </c>
      <c r="F17" s="20" t="n">
        <v>13600</v>
      </c>
      <c r="G17" s="32" t="n">
        <v>225</v>
      </c>
      <c r="H17" s="21" t="n">
        <v>0.531</v>
      </c>
      <c r="I17" s="22" t="n">
        <v>0.2398</v>
      </c>
    </row>
    <row r="18">
      <c r="A18" s="10" t="n">
        <v>16</v>
      </c>
      <c r="B18" s="9" t="inlineStr">
        <is>
          <t>Boqueirão</t>
        </is>
      </c>
      <c r="C18" s="10" t="inlineStr">
        <is>
          <t>Q2</t>
        </is>
      </c>
      <c r="D18" s="11" t="n">
        <v>18512</v>
      </c>
      <c r="E18" s="11" t="n">
        <v>38900</v>
      </c>
      <c r="F18" s="11" t="n">
        <v>36700</v>
      </c>
      <c r="G18" s="33" t="n">
        <v>185</v>
      </c>
      <c r="H18" s="12" t="n">
        <v>0.588</v>
      </c>
      <c r="I18" s="17" t="n">
        <v>0.2587</v>
      </c>
    </row>
    <row r="19">
      <c r="A19" s="19" t="n">
        <v>17</v>
      </c>
      <c r="B19" s="18" t="inlineStr">
        <is>
          <t>Pitimbu</t>
        </is>
      </c>
      <c r="C19" s="19" t="inlineStr">
        <is>
          <t>Q1_Próximo</t>
        </is>
      </c>
      <c r="D19" s="20" t="n">
        <v>18698</v>
      </c>
      <c r="E19" s="20" t="n">
        <v>41000</v>
      </c>
      <c r="F19" s="20" t="n">
        <v>38600</v>
      </c>
      <c r="G19" s="32" t="n">
        <v>78</v>
      </c>
      <c r="H19" s="21" t="n">
        <v>0.59</v>
      </c>
      <c r="I19" s="22" t="n">
        <v>0.276</v>
      </c>
    </row>
    <row r="20">
      <c r="A20" s="10" t="n">
        <v>18</v>
      </c>
      <c r="B20" s="9" t="inlineStr">
        <is>
          <t>Santa Inês</t>
        </is>
      </c>
      <c r="C20" s="10" t="inlineStr">
        <is>
          <t>Q4_Distante</t>
        </is>
      </c>
      <c r="D20" s="11" t="n">
        <v>5078</v>
      </c>
      <c r="E20" s="11" t="n">
        <v>15200</v>
      </c>
      <c r="F20" s="11" t="n">
        <v>14300</v>
      </c>
      <c r="G20" s="33" t="n">
        <v>430</v>
      </c>
      <c r="H20" s="12" t="n">
        <v>0.545</v>
      </c>
      <c r="I20" s="17" t="n">
        <v>0.2825</v>
      </c>
    </row>
    <row r="21">
      <c r="A21" s="19" t="n">
        <v>19</v>
      </c>
      <c r="B21" s="18" t="inlineStr">
        <is>
          <t>Mari</t>
        </is>
      </c>
      <c r="C21" s="19" t="inlineStr">
        <is>
          <t>Q1_Próximo</t>
        </is>
      </c>
      <c r="D21" s="20" t="n">
        <v>22413</v>
      </c>
      <c r="E21" s="20" t="n">
        <v>47800</v>
      </c>
      <c r="F21" s="20" t="n">
        <v>45100</v>
      </c>
      <c r="G21" s="32" t="n">
        <v>50</v>
      </c>
      <c r="H21" s="21" t="n">
        <v>0.594</v>
      </c>
      <c r="I21" s="22" t="n">
        <v>0.2833</v>
      </c>
    </row>
    <row r="22">
      <c r="A22" s="10" t="n">
        <v>20</v>
      </c>
      <c r="B22" s="9" t="inlineStr">
        <is>
          <t>Araruna</t>
        </is>
      </c>
      <c r="C22" s="10" t="inlineStr">
        <is>
          <t>Q2</t>
        </is>
      </c>
      <c r="D22" s="11" t="n">
        <v>18853</v>
      </c>
      <c r="E22" s="11" t="n">
        <v>39100</v>
      </c>
      <c r="F22" s="11" t="n">
        <v>36900</v>
      </c>
      <c r="G22" s="33" t="n">
        <v>175</v>
      </c>
      <c r="H22" s="12" t="n">
        <v>0.601</v>
      </c>
      <c r="I22" s="17" t="n">
        <v>0.2937</v>
      </c>
    </row>
    <row r="23">
      <c r="A23" s="19" t="n">
        <v>21</v>
      </c>
      <c r="B23" s="18" t="inlineStr">
        <is>
          <t>Mogeiro</t>
        </is>
      </c>
      <c r="C23" s="19" t="inlineStr">
        <is>
          <t>Q1_Próximo</t>
        </is>
      </c>
      <c r="D23" s="20" t="n">
        <v>12568</v>
      </c>
      <c r="E23" s="20" t="n">
        <v>27200</v>
      </c>
      <c r="F23" s="20" t="n">
        <v>25600</v>
      </c>
      <c r="G23" s="32" t="n">
        <v>100</v>
      </c>
      <c r="H23" s="21" t="n">
        <v>0.578</v>
      </c>
      <c r="I23" s="22" t="n">
        <v>0.3083</v>
      </c>
    </row>
    <row r="24">
      <c r="A24" s="10" t="n">
        <v>22</v>
      </c>
      <c r="B24" s="9" t="inlineStr">
        <is>
          <t>Picuí</t>
        </is>
      </c>
      <c r="C24" s="10" t="inlineStr">
        <is>
          <t>Q2</t>
        </is>
      </c>
      <c r="D24" s="11" t="n">
        <v>19643</v>
      </c>
      <c r="E24" s="11" t="n">
        <v>41400</v>
      </c>
      <c r="F24" s="11" t="n">
        <v>39000</v>
      </c>
      <c r="G24" s="33" t="n">
        <v>230</v>
      </c>
      <c r="H24" s="12" t="n">
        <v>0.604</v>
      </c>
      <c r="I24" s="17" t="n">
        <v>0.3307</v>
      </c>
    </row>
    <row r="25">
      <c r="A25" s="19" t="n">
        <v>23</v>
      </c>
      <c r="B25" s="18" t="inlineStr">
        <is>
          <t>São José do Sabugi</t>
        </is>
      </c>
      <c r="C25" s="19" t="inlineStr">
        <is>
          <t>Q3</t>
        </is>
      </c>
      <c r="D25" s="20" t="n">
        <v>5618</v>
      </c>
      <c r="E25" s="20" t="n">
        <v>15800</v>
      </c>
      <c r="F25" s="20" t="n">
        <v>14800</v>
      </c>
      <c r="G25" s="32" t="n">
        <v>265</v>
      </c>
      <c r="H25" s="21" t="n">
        <v>0.5580000000000001</v>
      </c>
      <c r="I25" s="22" t="n">
        <v>0.3374</v>
      </c>
    </row>
    <row r="26">
      <c r="A26" s="10" t="n">
        <v>24</v>
      </c>
      <c r="B26" s="9" t="inlineStr">
        <is>
          <t>Monte Horebe</t>
        </is>
      </c>
      <c r="C26" s="10" t="inlineStr">
        <is>
          <t>Q4_Distante</t>
        </is>
      </c>
      <c r="D26" s="11" t="n">
        <v>5813</v>
      </c>
      <c r="E26" s="11" t="n">
        <v>16100</v>
      </c>
      <c r="F26" s="11" t="n">
        <v>15100</v>
      </c>
      <c r="G26" s="33" t="n">
        <v>455</v>
      </c>
      <c r="H26" s="12" t="n">
        <v>0.54</v>
      </c>
      <c r="I26" s="17" t="n">
        <v>0.3475</v>
      </c>
    </row>
    <row r="27">
      <c r="A27" s="19" t="n">
        <v>25</v>
      </c>
      <c r="B27" s="18" t="inlineStr">
        <is>
          <t>Damião</t>
        </is>
      </c>
      <c r="C27" s="19" t="inlineStr">
        <is>
          <t>Q2</t>
        </is>
      </c>
      <c r="D27" s="20" t="n">
        <v>5273</v>
      </c>
      <c r="E27" s="20" t="n">
        <v>15400</v>
      </c>
      <c r="F27" s="20" t="n">
        <v>14500</v>
      </c>
      <c r="G27" s="32" t="n">
        <v>205</v>
      </c>
      <c r="H27" s="21" t="n">
        <v>0.553</v>
      </c>
      <c r="I27" s="22" t="n">
        <v>0.3484</v>
      </c>
    </row>
    <row r="28">
      <c r="A28" s="10" t="n">
        <v>26</v>
      </c>
      <c r="B28" s="9" t="inlineStr">
        <is>
          <t>Massaranduba</t>
        </is>
      </c>
      <c r="C28" s="10" t="inlineStr">
        <is>
          <t>Q1_Próximo</t>
        </is>
      </c>
      <c r="D28" s="11" t="n">
        <v>13753</v>
      </c>
      <c r="E28" s="11" t="n">
        <v>29800</v>
      </c>
      <c r="F28" s="11" t="n">
        <v>28100</v>
      </c>
      <c r="G28" s="33" t="n">
        <v>105</v>
      </c>
      <c r="H28" s="12" t="n">
        <v>0.5679999999999999</v>
      </c>
      <c r="I28" s="17" t="n">
        <v>0.3485</v>
      </c>
    </row>
    <row r="29">
      <c r="A29" s="19" t="n">
        <v>27</v>
      </c>
      <c r="B29" s="18" t="inlineStr">
        <is>
          <t>Juripiranga</t>
        </is>
      </c>
      <c r="C29" s="19" t="inlineStr">
        <is>
          <t>Q1_Próximo</t>
        </is>
      </c>
      <c r="D29" s="20" t="n">
        <v>11588</v>
      </c>
      <c r="E29" s="20" t="n">
        <v>25200</v>
      </c>
      <c r="F29" s="20" t="n">
        <v>23700</v>
      </c>
      <c r="G29" s="32" t="n">
        <v>75</v>
      </c>
      <c r="H29" s="21" t="n">
        <v>0.5669999999999999</v>
      </c>
      <c r="I29" s="22" t="n">
        <v>0.3507</v>
      </c>
    </row>
    <row r="30">
      <c r="A30" s="10" t="n">
        <v>28</v>
      </c>
      <c r="B30" s="9" t="inlineStr">
        <is>
          <t>São José de Piranhas</t>
        </is>
      </c>
      <c r="C30" s="10" t="inlineStr">
        <is>
          <t>Q4_Distante</t>
        </is>
      </c>
      <c r="D30" s="11" t="n">
        <v>18973</v>
      </c>
      <c r="E30" s="11" t="n">
        <v>40500</v>
      </c>
      <c r="F30" s="11" t="n">
        <v>38100</v>
      </c>
      <c r="G30" s="33" t="n">
        <v>490</v>
      </c>
      <c r="H30" s="12" t="n">
        <v>0.595</v>
      </c>
      <c r="I30" s="17" t="n">
        <v>0.3518</v>
      </c>
    </row>
    <row r="31">
      <c r="A31" s="19" t="n">
        <v>29</v>
      </c>
      <c r="B31" s="18" t="inlineStr">
        <is>
          <t>Mataraca</t>
        </is>
      </c>
      <c r="C31" s="19" t="inlineStr">
        <is>
          <t>Q1_Próximo</t>
        </is>
      </c>
      <c r="D31" s="20" t="n">
        <v>8423</v>
      </c>
      <c r="E31" s="20" t="n">
        <v>23900</v>
      </c>
      <c r="F31" s="20" t="n">
        <v>22500</v>
      </c>
      <c r="G31" s="32" t="n">
        <v>98</v>
      </c>
      <c r="H31" s="21" t="n">
        <v>0.5629999999999999</v>
      </c>
      <c r="I31" s="22" t="n">
        <v>0.3531</v>
      </c>
    </row>
    <row r="32">
      <c r="A32" s="10" t="n">
        <v>30</v>
      </c>
      <c r="B32" s="9" t="inlineStr">
        <is>
          <t>Emas</t>
        </is>
      </c>
      <c r="C32" s="10" t="inlineStr">
        <is>
          <t>Q4_Distante</t>
        </is>
      </c>
      <c r="D32" s="11" t="n">
        <v>4823</v>
      </c>
      <c r="E32" s="11" t="n">
        <v>14700</v>
      </c>
      <c r="F32" s="11" t="n">
        <v>13800</v>
      </c>
      <c r="G32" s="33" t="n">
        <v>410</v>
      </c>
      <c r="H32" s="12" t="n">
        <v>0.532</v>
      </c>
      <c r="I32" s="17" t="n">
        <v>0.3596</v>
      </c>
    </row>
    <row r="33">
      <c r="A33" s="19" t="n">
        <v>31</v>
      </c>
      <c r="B33" s="18" t="inlineStr">
        <is>
          <t>Conceição</t>
        </is>
      </c>
      <c r="C33" s="19" t="inlineStr">
        <is>
          <t>Q3</t>
        </is>
      </c>
      <c r="D33" s="20" t="n">
        <v>19873</v>
      </c>
      <c r="E33" s="20" t="n">
        <v>41500</v>
      </c>
      <c r="F33" s="20" t="n">
        <v>39100</v>
      </c>
      <c r="G33" s="32" t="n">
        <v>350</v>
      </c>
      <c r="H33" s="21" t="n">
        <v>0.598</v>
      </c>
      <c r="I33" s="22" t="n">
        <v>0.3658</v>
      </c>
    </row>
    <row r="34">
      <c r="A34" s="10" t="n">
        <v>32</v>
      </c>
      <c r="B34" s="9" t="inlineStr">
        <is>
          <t>Pilar</t>
        </is>
      </c>
      <c r="C34" s="10" t="inlineStr">
        <is>
          <t>Q1_Próximo</t>
        </is>
      </c>
      <c r="D34" s="11" t="n">
        <v>11298</v>
      </c>
      <c r="E34" s="11" t="n">
        <v>24700</v>
      </c>
      <c r="F34" s="11" t="n">
        <v>23300</v>
      </c>
      <c r="G34" s="33" t="n">
        <v>80</v>
      </c>
      <c r="H34" s="12" t="n">
        <v>0.579</v>
      </c>
      <c r="I34" s="17" t="n">
        <v>0.3719</v>
      </c>
    </row>
    <row r="35">
      <c r="A35" s="19" t="n">
        <v>33</v>
      </c>
      <c r="B35" s="18" t="inlineStr">
        <is>
          <t>Prata</t>
        </is>
      </c>
      <c r="C35" s="19" t="inlineStr">
        <is>
          <t>Q3</t>
        </is>
      </c>
      <c r="D35" s="20" t="n">
        <v>4823</v>
      </c>
      <c r="E35" s="20" t="n">
        <v>14700</v>
      </c>
      <c r="F35" s="20" t="n">
        <v>13800</v>
      </c>
      <c r="G35" s="32" t="n">
        <v>295</v>
      </c>
      <c r="H35" s="21" t="n">
        <v>0.537</v>
      </c>
      <c r="I35" s="22" t="n">
        <v>0.3779</v>
      </c>
    </row>
    <row r="36">
      <c r="A36" s="10" t="n">
        <v>34</v>
      </c>
      <c r="B36" s="9" t="inlineStr">
        <is>
          <t>Santa Helena</t>
        </is>
      </c>
      <c r="C36" s="10" t="inlineStr">
        <is>
          <t>Q4_Distante</t>
        </is>
      </c>
      <c r="D36" s="11" t="n">
        <v>5383</v>
      </c>
      <c r="E36" s="11" t="n">
        <v>15500</v>
      </c>
      <c r="F36" s="11" t="n">
        <v>14600</v>
      </c>
      <c r="G36" s="33" t="n">
        <v>440</v>
      </c>
      <c r="H36" s="12" t="n">
        <v>0.554</v>
      </c>
      <c r="I36" s="17" t="n">
        <v>0.3826</v>
      </c>
    </row>
    <row r="37">
      <c r="A37" s="19" t="n">
        <v>35</v>
      </c>
      <c r="B37" s="18" t="inlineStr">
        <is>
          <t>Cubati</t>
        </is>
      </c>
      <c r="C37" s="19" t="inlineStr">
        <is>
          <t>Q2</t>
        </is>
      </c>
      <c r="D37" s="20" t="n">
        <v>7028</v>
      </c>
      <c r="E37" s="20" t="n">
        <v>18100</v>
      </c>
      <c r="F37" s="20" t="n">
        <v>17000</v>
      </c>
      <c r="G37" s="32" t="n">
        <v>200</v>
      </c>
      <c r="H37" s="21" t="n">
        <v>0.569</v>
      </c>
      <c r="I37" s="22" t="n">
        <v>0.3837</v>
      </c>
    </row>
    <row r="38">
      <c r="A38" s="10" t="n">
        <v>36</v>
      </c>
      <c r="B38" s="9" t="inlineStr">
        <is>
          <t>Santa Teresinha</t>
        </is>
      </c>
      <c r="C38" s="10" t="inlineStr">
        <is>
          <t>Q3</t>
        </is>
      </c>
      <c r="D38" s="11" t="n">
        <v>4208</v>
      </c>
      <c r="E38" s="11" t="n">
        <v>13700</v>
      </c>
      <c r="F38" s="11" t="n">
        <v>12900</v>
      </c>
      <c r="G38" s="33" t="n">
        <v>330</v>
      </c>
      <c r="H38" s="12" t="n">
        <v>0.546</v>
      </c>
      <c r="I38" s="17" t="n">
        <v>0.3882</v>
      </c>
    </row>
    <row r="39">
      <c r="A39" s="19" t="n">
        <v>37</v>
      </c>
      <c r="B39" s="18" t="inlineStr">
        <is>
          <t>Serra Redonda</t>
        </is>
      </c>
      <c r="C39" s="19" t="inlineStr">
        <is>
          <t>Q2</t>
        </is>
      </c>
      <c r="D39" s="20" t="n">
        <v>6558</v>
      </c>
      <c r="E39" s="20" t="n">
        <v>17000</v>
      </c>
      <c r="F39" s="20" t="n">
        <v>16000</v>
      </c>
      <c r="G39" s="32" t="n">
        <v>165</v>
      </c>
      <c r="H39" s="21" t="n">
        <v>0.576</v>
      </c>
      <c r="I39" s="22" t="n">
        <v>0.3914</v>
      </c>
    </row>
    <row r="40">
      <c r="A40" s="10" t="n">
        <v>38</v>
      </c>
      <c r="B40" s="9" t="inlineStr">
        <is>
          <t>Bom Sucesso</t>
        </is>
      </c>
      <c r="C40" s="10" t="inlineStr">
        <is>
          <t>Q3</t>
        </is>
      </c>
      <c r="D40" s="11" t="n">
        <v>5673</v>
      </c>
      <c r="E40" s="11" t="n">
        <v>15900</v>
      </c>
      <c r="F40" s="11" t="n">
        <v>14900</v>
      </c>
      <c r="G40" s="33" t="n">
        <v>270</v>
      </c>
      <c r="H40" s="12" t="n">
        <v>0.545</v>
      </c>
      <c r="I40" s="17" t="n">
        <v>0.4019</v>
      </c>
    </row>
    <row r="41">
      <c r="A41" s="19" t="n">
        <v>39</v>
      </c>
      <c r="B41" s="18" t="inlineStr">
        <is>
          <t>Santa Luzia</t>
        </is>
      </c>
      <c r="C41" s="19" t="inlineStr">
        <is>
          <t>Q3</t>
        </is>
      </c>
      <c r="D41" s="20" t="n">
        <v>14783</v>
      </c>
      <c r="E41" s="20" t="n">
        <v>32200</v>
      </c>
      <c r="F41" s="20" t="n">
        <v>30300</v>
      </c>
      <c r="G41" s="32" t="n">
        <v>280</v>
      </c>
      <c r="H41" s="21" t="n">
        <v>0.586</v>
      </c>
      <c r="I41" s="22" t="n">
        <v>0.4124</v>
      </c>
    </row>
    <row r="42">
      <c r="A42" s="10" t="n">
        <v>40</v>
      </c>
      <c r="B42" s="9" t="inlineStr">
        <is>
          <t>São José dos Cordeiros</t>
        </is>
      </c>
      <c r="C42" s="10" t="inlineStr">
        <is>
          <t>Q3</t>
        </is>
      </c>
      <c r="D42" s="11" t="n">
        <v>4778</v>
      </c>
      <c r="E42" s="11" t="n">
        <v>14600</v>
      </c>
      <c r="F42" s="11" t="n">
        <v>13700</v>
      </c>
      <c r="G42" s="33" t="n">
        <v>255</v>
      </c>
      <c r="H42" s="12" t="n">
        <v>0.526</v>
      </c>
      <c r="I42" s="17" t="n">
        <v>0.4157</v>
      </c>
    </row>
    <row r="43">
      <c r="A43" s="19" t="n">
        <v>41</v>
      </c>
      <c r="B43" s="18" t="inlineStr">
        <is>
          <t>Cachoeira dos Índios</t>
        </is>
      </c>
      <c r="C43" s="19" t="inlineStr">
        <is>
          <t>Q4_Distante</t>
        </is>
      </c>
      <c r="D43" s="20" t="n">
        <v>8468</v>
      </c>
      <c r="E43" s="20" t="n">
        <v>20400</v>
      </c>
      <c r="F43" s="20" t="n">
        <v>19200</v>
      </c>
      <c r="G43" s="32" t="n">
        <v>490</v>
      </c>
      <c r="H43" s="21" t="n">
        <v>0.556</v>
      </c>
      <c r="I43" s="22" t="n">
        <v>0.4175</v>
      </c>
    </row>
    <row r="44">
      <c r="A44" s="10" t="n">
        <v>42</v>
      </c>
      <c r="B44" s="9" t="inlineStr">
        <is>
          <t>Cacimba de Dentro</t>
        </is>
      </c>
      <c r="C44" s="10" t="inlineStr">
        <is>
          <t>Q2</t>
        </is>
      </c>
      <c r="D44" s="11" t="n">
        <v>15448</v>
      </c>
      <c r="E44" s="11" t="n">
        <v>33500</v>
      </c>
      <c r="F44" s="11" t="n">
        <v>31500</v>
      </c>
      <c r="G44" s="33" t="n">
        <v>175</v>
      </c>
      <c r="H44" s="12" t="n">
        <v>0.579</v>
      </c>
      <c r="I44" s="17" t="n">
        <v>0.4217</v>
      </c>
    </row>
    <row r="45">
      <c r="A45" s="19" t="n">
        <v>43</v>
      </c>
      <c r="B45" s="18" t="inlineStr">
        <is>
          <t>Riacho dos Cavalos</t>
        </is>
      </c>
      <c r="C45" s="19" t="inlineStr">
        <is>
          <t>Q4_Distante</t>
        </is>
      </c>
      <c r="D45" s="20" t="n">
        <v>7753</v>
      </c>
      <c r="E45" s="20" t="n">
        <v>19200</v>
      </c>
      <c r="F45" s="20" t="n">
        <v>18100</v>
      </c>
      <c r="G45" s="32" t="n">
        <v>385</v>
      </c>
      <c r="H45" s="21" t="n">
        <v>0.5580000000000001</v>
      </c>
      <c r="I45" s="22" t="n">
        <v>0.4258</v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16" customWidth="1" min="3" max="3"/>
    <col width="12" customWidth="1" min="4" max="4"/>
    <col width="15" customWidth="1" min="5" max="5"/>
    <col width="15" customWidth="1" min="6" max="6"/>
    <col width="10" customWidth="1" min="7" max="7"/>
    <col width="8" customWidth="1" min="8" max="8"/>
    <col width="11" customWidth="1" min="9" max="9"/>
  </cols>
  <sheetData>
    <row r="1" ht="25" customHeight="1">
      <c r="A1" s="34" t="inlineStr">
        <is>
          <t>GRUPO B — 43 MUNICÍPIOS RANDOMIZADOS</t>
        </is>
      </c>
    </row>
    <row r="2" ht="30" customHeight="1">
      <c r="A2" s="7" t="inlineStr">
        <is>
          <t>Par</t>
        </is>
      </c>
      <c r="B2" s="7" t="inlineStr">
        <is>
          <t>Município</t>
        </is>
      </c>
      <c r="C2" s="7" t="inlineStr">
        <is>
          <t>Estrato Dist.</t>
        </is>
      </c>
      <c r="D2" s="7" t="inlineStr">
        <is>
          <t>Pop. (2022)</t>
        </is>
      </c>
      <c r="E2" s="7" t="inlineStr">
        <is>
          <t>Receita Corrente
(R$ mil)</t>
        </is>
      </c>
      <c r="F2" s="7" t="inlineStr">
        <is>
          <t>Despesa Corrente
(R$ mil)</t>
        </is>
      </c>
      <c r="G2" s="7" t="inlineStr">
        <is>
          <t>Dist. Capital
(km)</t>
        </is>
      </c>
      <c r="H2" s="7" t="inlineStr">
        <is>
          <t>IDHM</t>
        </is>
      </c>
      <c r="I2" s="7" t="inlineStr">
        <is>
          <t>Dist. Mahal.</t>
        </is>
      </c>
    </row>
    <row r="3">
      <c r="A3" s="19" t="n">
        <v>1</v>
      </c>
      <c r="B3" s="18" t="inlineStr">
        <is>
          <t>Santa Cecília</t>
        </is>
      </c>
      <c r="C3" s="19" t="inlineStr">
        <is>
          <t>Q3</t>
        </is>
      </c>
      <c r="D3" s="20" t="n">
        <v>4468</v>
      </c>
      <c r="E3" s="20" t="n">
        <v>14200</v>
      </c>
      <c r="F3" s="20" t="n">
        <v>13400</v>
      </c>
      <c r="G3" s="32" t="n">
        <v>330</v>
      </c>
      <c r="H3" s="21" t="n">
        <v>0.536</v>
      </c>
      <c r="I3" s="22" t="n">
        <v>0</v>
      </c>
    </row>
    <row r="4">
      <c r="A4" s="14" t="n">
        <v>2</v>
      </c>
      <c r="B4" s="13" t="inlineStr">
        <is>
          <t>Ouro Velho</t>
        </is>
      </c>
      <c r="C4" s="14" t="inlineStr">
        <is>
          <t>Q3</t>
        </is>
      </c>
      <c r="D4" s="15" t="n">
        <v>4513</v>
      </c>
      <c r="E4" s="15" t="n">
        <v>14200</v>
      </c>
      <c r="F4" s="15" t="n">
        <v>13400</v>
      </c>
      <c r="G4" s="35" t="n">
        <v>295</v>
      </c>
      <c r="H4" s="16" t="n">
        <v>0.547</v>
      </c>
      <c r="I4" s="36" t="n">
        <v>0.0599</v>
      </c>
    </row>
    <row r="5">
      <c r="A5" s="19" t="n">
        <v>3</v>
      </c>
      <c r="B5" s="18" t="inlineStr">
        <is>
          <t>Vieirópolis</t>
        </is>
      </c>
      <c r="C5" s="19" t="inlineStr">
        <is>
          <t>Q4_Distante</t>
        </is>
      </c>
      <c r="D5" s="20" t="n">
        <v>5648</v>
      </c>
      <c r="E5" s="20" t="n">
        <v>15800</v>
      </c>
      <c r="F5" s="20" t="n">
        <v>14900</v>
      </c>
      <c r="G5" s="32" t="n">
        <v>405</v>
      </c>
      <c r="H5" s="21" t="n">
        <v>0.5590000000000001</v>
      </c>
      <c r="I5" s="22" t="n">
        <v>0.0599</v>
      </c>
    </row>
    <row r="6">
      <c r="A6" s="14" t="n">
        <v>4</v>
      </c>
      <c r="B6" s="13" t="inlineStr">
        <is>
          <t>Sobrado</t>
        </is>
      </c>
      <c r="C6" s="14" t="inlineStr">
        <is>
          <t>Q1_Próximo</t>
        </is>
      </c>
      <c r="D6" s="15" t="n">
        <v>11963</v>
      </c>
      <c r="E6" s="15" t="n">
        <v>26000</v>
      </c>
      <c r="F6" s="15" t="n">
        <v>24500</v>
      </c>
      <c r="G6" s="35" t="n">
        <v>32</v>
      </c>
      <c r="H6" s="16" t="n">
        <v>0.575</v>
      </c>
      <c r="I6" s="36" t="n">
        <v>0.1084</v>
      </c>
    </row>
    <row r="7">
      <c r="A7" s="19" t="n">
        <v>5</v>
      </c>
      <c r="B7" s="18" t="inlineStr">
        <is>
          <t>Natuba</t>
        </is>
      </c>
      <c r="C7" s="19" t="inlineStr">
        <is>
          <t>Q2</t>
        </is>
      </c>
      <c r="D7" s="20" t="n">
        <v>12143</v>
      </c>
      <c r="E7" s="20" t="n">
        <v>26300</v>
      </c>
      <c r="F7" s="20" t="n">
        <v>24800</v>
      </c>
      <c r="G7" s="32" t="n">
        <v>140</v>
      </c>
      <c r="H7" s="21" t="n">
        <v>0.5629999999999999</v>
      </c>
      <c r="I7" s="22" t="n">
        <v>0.1591</v>
      </c>
    </row>
    <row r="8">
      <c r="A8" s="14" t="n">
        <v>6</v>
      </c>
      <c r="B8" s="13" t="inlineStr">
        <is>
          <t>Boa Vista</t>
        </is>
      </c>
      <c r="C8" s="14" t="inlineStr">
        <is>
          <t>Q2</t>
        </is>
      </c>
      <c r="D8" s="15" t="n">
        <v>6423</v>
      </c>
      <c r="E8" s="15" t="n">
        <v>16800</v>
      </c>
      <c r="F8" s="15" t="n">
        <v>15800</v>
      </c>
      <c r="G8" s="35" t="n">
        <v>165</v>
      </c>
      <c r="H8" s="16" t="n">
        <v>0.571</v>
      </c>
      <c r="I8" s="36" t="n">
        <v>0.1612</v>
      </c>
    </row>
    <row r="9">
      <c r="A9" s="19" t="n">
        <v>7</v>
      </c>
      <c r="B9" s="18" t="inlineStr">
        <is>
          <t>Serraria</t>
        </is>
      </c>
      <c r="C9" s="19" t="inlineStr">
        <is>
          <t>Q1_Próximo</t>
        </is>
      </c>
      <c r="D9" s="20" t="n">
        <v>9418</v>
      </c>
      <c r="E9" s="20" t="n">
        <v>21900</v>
      </c>
      <c r="F9" s="20" t="n">
        <v>20600</v>
      </c>
      <c r="G9" s="32" t="n">
        <v>125</v>
      </c>
      <c r="H9" s="21" t="n">
        <v>0.58</v>
      </c>
      <c r="I9" s="22" t="n">
        <v>0.1748</v>
      </c>
    </row>
    <row r="10">
      <c r="A10" s="14" t="n">
        <v>8</v>
      </c>
      <c r="B10" s="13" t="inlineStr">
        <is>
          <t>Pilõezinhos</t>
        </is>
      </c>
      <c r="C10" s="14" t="inlineStr">
        <is>
          <t>Q1_Próximo</t>
        </is>
      </c>
      <c r="D10" s="15" t="n">
        <v>6058</v>
      </c>
      <c r="E10" s="15" t="n">
        <v>16500</v>
      </c>
      <c r="F10" s="15" t="n">
        <v>15500</v>
      </c>
      <c r="G10" s="35" t="n">
        <v>105</v>
      </c>
      <c r="H10" s="16" t="n">
        <v>0.5669999999999999</v>
      </c>
      <c r="I10" s="36" t="n">
        <v>0.1771</v>
      </c>
    </row>
    <row r="11">
      <c r="A11" s="19" t="n">
        <v>9</v>
      </c>
      <c r="B11" s="18" t="inlineStr">
        <is>
          <t>Santa Cruz</t>
        </is>
      </c>
      <c r="C11" s="19" t="inlineStr">
        <is>
          <t>Q3</t>
        </is>
      </c>
      <c r="D11" s="20" t="n">
        <v>7068</v>
      </c>
      <c r="E11" s="20" t="n">
        <v>18200</v>
      </c>
      <c r="F11" s="20" t="n">
        <v>17100</v>
      </c>
      <c r="G11" s="32" t="n">
        <v>325</v>
      </c>
      <c r="H11" s="21" t="n">
        <v>0.553</v>
      </c>
      <c r="I11" s="22" t="n">
        <v>0.1798</v>
      </c>
    </row>
    <row r="12">
      <c r="A12" s="14" t="n">
        <v>10</v>
      </c>
      <c r="B12" s="13" t="inlineStr">
        <is>
          <t>São José da Lagoa Tapada</t>
        </is>
      </c>
      <c r="C12" s="14" t="inlineStr">
        <is>
          <t>Q4_Distante</t>
        </is>
      </c>
      <c r="D12" s="15" t="n">
        <v>6948</v>
      </c>
      <c r="E12" s="15" t="n">
        <v>17900</v>
      </c>
      <c r="F12" s="15" t="n">
        <v>16900</v>
      </c>
      <c r="G12" s="35" t="n">
        <v>440</v>
      </c>
      <c r="H12" s="16" t="n">
        <v>0.553</v>
      </c>
      <c r="I12" s="36" t="n">
        <v>0.1917</v>
      </c>
    </row>
    <row r="13">
      <c r="A13" s="19" t="n">
        <v>11</v>
      </c>
      <c r="B13" s="18" t="inlineStr">
        <is>
          <t>Teixeira</t>
        </is>
      </c>
      <c r="C13" s="19" t="inlineStr">
        <is>
          <t>Q3</t>
        </is>
      </c>
      <c r="D13" s="20" t="n">
        <v>17888</v>
      </c>
      <c r="E13" s="20" t="n">
        <v>38200</v>
      </c>
      <c r="F13" s="20" t="n">
        <v>36000</v>
      </c>
      <c r="G13" s="32" t="n">
        <v>340</v>
      </c>
      <c r="H13" s="21" t="n">
        <v>0.601</v>
      </c>
      <c r="I13" s="22" t="n">
        <v>0.1984</v>
      </c>
    </row>
    <row r="14">
      <c r="A14" s="14" t="n">
        <v>12</v>
      </c>
      <c r="B14" s="13" t="inlineStr">
        <is>
          <t>São Francisco</t>
        </is>
      </c>
      <c r="C14" s="14" t="inlineStr">
        <is>
          <t>Q3</t>
        </is>
      </c>
      <c r="D14" s="15" t="n">
        <v>3778</v>
      </c>
      <c r="E14" s="15" t="n">
        <v>13100</v>
      </c>
      <c r="F14" s="15" t="n">
        <v>12300</v>
      </c>
      <c r="G14" s="35" t="n">
        <v>295</v>
      </c>
      <c r="H14" s="16" t="n">
        <v>0.543</v>
      </c>
      <c r="I14" s="36" t="n">
        <v>0.2009</v>
      </c>
    </row>
    <row r="15">
      <c r="A15" s="19" t="n">
        <v>13</v>
      </c>
      <c r="B15" s="18" t="inlineStr">
        <is>
          <t>Santo André</t>
        </is>
      </c>
      <c r="C15" s="19" t="inlineStr">
        <is>
          <t>Q3</t>
        </is>
      </c>
      <c r="D15" s="20" t="n">
        <v>4728</v>
      </c>
      <c r="E15" s="20" t="n">
        <v>14600</v>
      </c>
      <c r="F15" s="20" t="n">
        <v>13700</v>
      </c>
      <c r="G15" s="32" t="n">
        <v>285</v>
      </c>
      <c r="H15" s="21" t="n">
        <v>0.53</v>
      </c>
      <c r="I15" s="22" t="n">
        <v>0.204</v>
      </c>
    </row>
    <row r="16">
      <c r="A16" s="14" t="n">
        <v>14</v>
      </c>
      <c r="B16" s="13" t="inlineStr">
        <is>
          <t>Nova Olinda</t>
        </is>
      </c>
      <c r="C16" s="14" t="inlineStr">
        <is>
          <t>Q4_Distante</t>
        </is>
      </c>
      <c r="D16" s="15" t="n">
        <v>8498</v>
      </c>
      <c r="E16" s="15" t="n">
        <v>20900</v>
      </c>
      <c r="F16" s="15" t="n">
        <v>19700</v>
      </c>
      <c r="G16" s="35" t="n">
        <v>430</v>
      </c>
      <c r="H16" s="16" t="n">
        <v>0.5669999999999999</v>
      </c>
      <c r="I16" s="36" t="n">
        <v>0.2329</v>
      </c>
    </row>
    <row r="17">
      <c r="A17" s="19" t="n">
        <v>15</v>
      </c>
      <c r="B17" s="18" t="inlineStr">
        <is>
          <t>Cuités</t>
        </is>
      </c>
      <c r="C17" s="19" t="inlineStr">
        <is>
          <t>Q2</t>
        </is>
      </c>
      <c r="D17" s="20" t="n">
        <v>4613</v>
      </c>
      <c r="E17" s="20" t="n">
        <v>14500</v>
      </c>
      <c r="F17" s="20" t="n">
        <v>13600</v>
      </c>
      <c r="G17" s="32" t="n">
        <v>235</v>
      </c>
      <c r="H17" s="21" t="n">
        <v>0.535</v>
      </c>
      <c r="I17" s="22" t="n">
        <v>0.2398</v>
      </c>
    </row>
    <row r="18">
      <c r="A18" s="14" t="n">
        <v>16</v>
      </c>
      <c r="B18" s="13" t="inlineStr">
        <is>
          <t>Taperoá</t>
        </is>
      </c>
      <c r="C18" s="14" t="inlineStr">
        <is>
          <t>Q2</t>
        </is>
      </c>
      <c r="D18" s="15" t="n">
        <v>16193</v>
      </c>
      <c r="E18" s="15" t="n">
        <v>35000</v>
      </c>
      <c r="F18" s="15" t="n">
        <v>33000</v>
      </c>
      <c r="G18" s="35" t="n">
        <v>235</v>
      </c>
      <c r="H18" s="16" t="n">
        <v>0.583</v>
      </c>
      <c r="I18" s="36" t="n">
        <v>0.2587</v>
      </c>
    </row>
    <row r="19">
      <c r="A19" s="19" t="n">
        <v>17</v>
      </c>
      <c r="B19" s="18" t="inlineStr">
        <is>
          <t>Belém</t>
        </is>
      </c>
      <c r="C19" s="19" t="inlineStr">
        <is>
          <t>Q1_Próximo</t>
        </is>
      </c>
      <c r="D19" s="20" t="n">
        <v>17018</v>
      </c>
      <c r="E19" s="20" t="n">
        <v>35800</v>
      </c>
      <c r="F19" s="20" t="n">
        <v>33700</v>
      </c>
      <c r="G19" s="32" t="n">
        <v>85</v>
      </c>
      <c r="H19" s="21" t="n">
        <v>0.587</v>
      </c>
      <c r="I19" s="22" t="n">
        <v>0.276</v>
      </c>
    </row>
    <row r="20">
      <c r="A20" s="14" t="n">
        <v>18</v>
      </c>
      <c r="B20" s="13" t="inlineStr">
        <is>
          <t>Poço Dantas</t>
        </is>
      </c>
      <c r="C20" s="14" t="inlineStr">
        <is>
          <t>Q4_Distante</t>
        </is>
      </c>
      <c r="D20" s="15" t="n">
        <v>5258</v>
      </c>
      <c r="E20" s="15" t="n">
        <v>15300</v>
      </c>
      <c r="F20" s="15" t="n">
        <v>14400</v>
      </c>
      <c r="G20" s="35" t="n">
        <v>470</v>
      </c>
      <c r="H20" s="16" t="n">
        <v>0.549</v>
      </c>
      <c r="I20" s="36" t="n">
        <v>0.2825</v>
      </c>
    </row>
    <row r="21">
      <c r="A21" s="19" t="n">
        <v>19</v>
      </c>
      <c r="B21" s="18" t="inlineStr">
        <is>
          <t>Alhandra</t>
        </is>
      </c>
      <c r="C21" s="19" t="inlineStr">
        <is>
          <t>Q1_Próximo</t>
        </is>
      </c>
      <c r="D21" s="20" t="n">
        <v>20855</v>
      </c>
      <c r="E21" s="20" t="n">
        <v>44500</v>
      </c>
      <c r="F21" s="20" t="n">
        <v>42000</v>
      </c>
      <c r="G21" s="32" t="n">
        <v>55</v>
      </c>
      <c r="H21" s="21" t="n">
        <v>0.594</v>
      </c>
      <c r="I21" s="22" t="n">
        <v>0.2833</v>
      </c>
    </row>
    <row r="22">
      <c r="A22" s="14" t="n">
        <v>20</v>
      </c>
      <c r="B22" s="13" t="inlineStr">
        <is>
          <t>Pocinhos</t>
        </is>
      </c>
      <c r="C22" s="14" t="inlineStr">
        <is>
          <t>Q2</t>
        </is>
      </c>
      <c r="D22" s="15" t="n">
        <v>17503</v>
      </c>
      <c r="E22" s="15" t="n">
        <v>37300</v>
      </c>
      <c r="F22" s="15" t="n">
        <v>35200</v>
      </c>
      <c r="G22" s="35" t="n">
        <v>175</v>
      </c>
      <c r="H22" s="16" t="n">
        <v>0.594</v>
      </c>
      <c r="I22" s="36" t="n">
        <v>0.2937</v>
      </c>
    </row>
    <row r="23">
      <c r="A23" s="19" t="n">
        <v>21</v>
      </c>
      <c r="B23" s="18" t="inlineStr">
        <is>
          <t>Curral de Cima</t>
        </is>
      </c>
      <c r="C23" s="19" t="inlineStr">
        <is>
          <t>Q1_Próximo</t>
        </is>
      </c>
      <c r="D23" s="20" t="n">
        <v>9713</v>
      </c>
      <c r="E23" s="20" t="n">
        <v>22100</v>
      </c>
      <c r="F23" s="20" t="n">
        <v>20800</v>
      </c>
      <c r="G23" s="32" t="n">
        <v>75</v>
      </c>
      <c r="H23" s="21" t="n">
        <v>0.5669999999999999</v>
      </c>
      <c r="I23" s="22" t="n">
        <v>0.3083</v>
      </c>
    </row>
    <row r="24">
      <c r="A24" s="14" t="n">
        <v>22</v>
      </c>
      <c r="B24" s="13" t="inlineStr">
        <is>
          <t>Remígio</t>
        </is>
      </c>
      <c r="C24" s="14" t="inlineStr">
        <is>
          <t>Q2</t>
        </is>
      </c>
      <c r="D24" s="15" t="n">
        <v>18373</v>
      </c>
      <c r="E24" s="15" t="n">
        <v>39200</v>
      </c>
      <c r="F24" s="15" t="n">
        <v>36900</v>
      </c>
      <c r="G24" s="35" t="n">
        <v>155</v>
      </c>
      <c r="H24" s="16" t="n">
        <v>0.604</v>
      </c>
      <c r="I24" s="36" t="n">
        <v>0.3307</v>
      </c>
    </row>
    <row r="25">
      <c r="A25" s="19" t="n">
        <v>23</v>
      </c>
      <c r="B25" s="18" t="inlineStr">
        <is>
          <t>Mãe d'Água</t>
        </is>
      </c>
      <c r="C25" s="19" t="inlineStr">
        <is>
          <t>Q3</t>
        </is>
      </c>
      <c r="D25" s="20" t="n">
        <v>5513</v>
      </c>
      <c r="E25" s="20" t="n">
        <v>15700</v>
      </c>
      <c r="F25" s="20" t="n">
        <v>14700</v>
      </c>
      <c r="G25" s="32" t="n">
        <v>315</v>
      </c>
      <c r="H25" s="21" t="n">
        <v>0.553</v>
      </c>
      <c r="I25" s="22" t="n">
        <v>0.3374</v>
      </c>
    </row>
    <row r="26">
      <c r="A26" s="14" t="n">
        <v>24</v>
      </c>
      <c r="B26" s="13" t="inlineStr">
        <is>
          <t>Bom Jesus</t>
        </is>
      </c>
      <c r="C26" s="14" t="inlineStr">
        <is>
          <t>Q4_Distante</t>
        </is>
      </c>
      <c r="D26" s="15" t="n">
        <v>3538</v>
      </c>
      <c r="E26" s="15" t="n">
        <v>12900</v>
      </c>
      <c r="F26" s="15" t="n">
        <v>12100</v>
      </c>
      <c r="G26" s="35" t="n">
        <v>390</v>
      </c>
      <c r="H26" s="16" t="n">
        <v>0.528</v>
      </c>
      <c r="I26" s="36" t="n">
        <v>0.3475</v>
      </c>
    </row>
    <row r="27">
      <c r="A27" s="19" t="n">
        <v>25</v>
      </c>
      <c r="B27" s="18" t="inlineStr">
        <is>
          <t>Caturité</t>
        </is>
      </c>
      <c r="C27" s="19" t="inlineStr">
        <is>
          <t>Q2</t>
        </is>
      </c>
      <c r="D27" s="20" t="n">
        <v>5098</v>
      </c>
      <c r="E27" s="20" t="n">
        <v>15200</v>
      </c>
      <c r="F27" s="20" t="n">
        <v>14300</v>
      </c>
      <c r="G27" s="32" t="n">
        <v>165</v>
      </c>
      <c r="H27" s="21" t="n">
        <v>0.551</v>
      </c>
      <c r="I27" s="22" t="n">
        <v>0.3484</v>
      </c>
    </row>
    <row r="28">
      <c r="A28" s="14" t="n">
        <v>26</v>
      </c>
      <c r="B28" s="13" t="inlineStr">
        <is>
          <t>Itapororoca</t>
        </is>
      </c>
      <c r="C28" s="14" t="inlineStr">
        <is>
          <t>Q1_Próximo</t>
        </is>
      </c>
      <c r="D28" s="15" t="n">
        <v>17493</v>
      </c>
      <c r="E28" s="15" t="n">
        <v>37200</v>
      </c>
      <c r="F28" s="15" t="n">
        <v>35100</v>
      </c>
      <c r="G28" s="35" t="n">
        <v>65</v>
      </c>
      <c r="H28" s="16" t="n">
        <v>0.578</v>
      </c>
      <c r="I28" s="36" t="n">
        <v>0.3485</v>
      </c>
    </row>
    <row r="29">
      <c r="A29" s="19" t="n">
        <v>27</v>
      </c>
      <c r="B29" s="18" t="inlineStr">
        <is>
          <t>Capim</t>
        </is>
      </c>
      <c r="C29" s="19" t="inlineStr">
        <is>
          <t>Q1_Próximo</t>
        </is>
      </c>
      <c r="D29" s="20" t="n">
        <v>8423</v>
      </c>
      <c r="E29" s="20" t="n">
        <v>20200</v>
      </c>
      <c r="F29" s="20" t="n">
        <v>19000</v>
      </c>
      <c r="G29" s="32" t="n">
        <v>70</v>
      </c>
      <c r="H29" s="21" t="n">
        <v>0.5580000000000001</v>
      </c>
      <c r="I29" s="22" t="n">
        <v>0.3507</v>
      </c>
    </row>
    <row r="30">
      <c r="A30" s="14" t="n">
        <v>28</v>
      </c>
      <c r="B30" s="13" t="inlineStr">
        <is>
          <t>Brejo do Cruz</t>
        </is>
      </c>
      <c r="C30" s="14" t="inlineStr">
        <is>
          <t>Q4_Distante</t>
        </is>
      </c>
      <c r="D30" s="15" t="n">
        <v>14998</v>
      </c>
      <c r="E30" s="15" t="n">
        <v>31800</v>
      </c>
      <c r="F30" s="15" t="n">
        <v>29900</v>
      </c>
      <c r="G30" s="35" t="n">
        <v>360</v>
      </c>
      <c r="H30" s="16" t="n">
        <v>0.584</v>
      </c>
      <c r="I30" s="36" t="n">
        <v>0.3518</v>
      </c>
    </row>
    <row r="31">
      <c r="A31" s="19" t="n">
        <v>29</v>
      </c>
      <c r="B31" s="18" t="inlineStr">
        <is>
          <t>Gurinhém</t>
        </is>
      </c>
      <c r="C31" s="19" t="inlineStr">
        <is>
          <t>Q1_Próximo</t>
        </is>
      </c>
      <c r="D31" s="20" t="n">
        <v>14303</v>
      </c>
      <c r="E31" s="20" t="n">
        <v>30800</v>
      </c>
      <c r="F31" s="20" t="n">
        <v>29000</v>
      </c>
      <c r="G31" s="32" t="n">
        <v>85</v>
      </c>
      <c r="H31" s="21" t="n">
        <v>0.575</v>
      </c>
      <c r="I31" s="22" t="n">
        <v>0.3531</v>
      </c>
    </row>
    <row r="32">
      <c r="A32" s="14" t="n">
        <v>30</v>
      </c>
      <c r="B32" s="13" t="inlineStr">
        <is>
          <t>Brejo dos Santos</t>
        </is>
      </c>
      <c r="C32" s="14" t="inlineStr">
        <is>
          <t>Q4_Distante</t>
        </is>
      </c>
      <c r="D32" s="15" t="n">
        <v>4818</v>
      </c>
      <c r="E32" s="15" t="n">
        <v>14700</v>
      </c>
      <c r="F32" s="15" t="n">
        <v>13800</v>
      </c>
      <c r="G32" s="35" t="n">
        <v>380</v>
      </c>
      <c r="H32" s="16" t="n">
        <v>0.538</v>
      </c>
      <c r="I32" s="36" t="n">
        <v>0.3596</v>
      </c>
    </row>
    <row r="33">
      <c r="A33" s="19" t="n">
        <v>31</v>
      </c>
      <c r="B33" s="18" t="inlineStr">
        <is>
          <t>Itaporanga</t>
        </is>
      </c>
      <c r="C33" s="19" t="inlineStr">
        <is>
          <t>Q3</t>
        </is>
      </c>
      <c r="D33" s="20" t="n">
        <v>24383</v>
      </c>
      <c r="E33" s="20" t="n">
        <v>51800</v>
      </c>
      <c r="F33" s="20" t="n">
        <v>48800</v>
      </c>
      <c r="G33" s="32" t="n">
        <v>315</v>
      </c>
      <c r="H33" s="21" t="n">
        <v>0.606</v>
      </c>
      <c r="I33" s="22" t="n">
        <v>0.3658</v>
      </c>
    </row>
    <row r="34">
      <c r="A34" s="14" t="n">
        <v>32</v>
      </c>
      <c r="B34" s="13" t="inlineStr">
        <is>
          <t>São Miguel de Taipu</t>
        </is>
      </c>
      <c r="C34" s="14" t="inlineStr">
        <is>
          <t>Q1_Próximo</t>
        </is>
      </c>
      <c r="D34" s="15" t="n">
        <v>8703</v>
      </c>
      <c r="E34" s="15" t="n">
        <v>21000</v>
      </c>
      <c r="F34" s="15" t="n">
        <v>19800</v>
      </c>
      <c r="G34" s="35" t="n">
        <v>65</v>
      </c>
      <c r="H34" s="16" t="n">
        <v>0.5669999999999999</v>
      </c>
      <c r="I34" s="36" t="n">
        <v>0.3719</v>
      </c>
    </row>
    <row r="35">
      <c r="A35" s="19" t="n">
        <v>33</v>
      </c>
      <c r="B35" s="18" t="inlineStr">
        <is>
          <t>Congo</t>
        </is>
      </c>
      <c r="C35" s="19" t="inlineStr">
        <is>
          <t>Q3</t>
        </is>
      </c>
      <c r="D35" s="20" t="n">
        <v>5923</v>
      </c>
      <c r="E35" s="20" t="n">
        <v>16500</v>
      </c>
      <c r="F35" s="20" t="n">
        <v>15500</v>
      </c>
      <c r="G35" s="32" t="n">
        <v>265</v>
      </c>
      <c r="H35" s="21" t="n">
        <v>0.538</v>
      </c>
      <c r="I35" s="22" t="n">
        <v>0.3779</v>
      </c>
    </row>
    <row r="36">
      <c r="A36" s="14" t="n">
        <v>34</v>
      </c>
      <c r="B36" s="13" t="inlineStr">
        <is>
          <t>Cajazeirinhas</t>
        </is>
      </c>
      <c r="C36" s="14" t="inlineStr">
        <is>
          <t>Q4_Distante</t>
        </is>
      </c>
      <c r="D36" s="15" t="n">
        <v>5498</v>
      </c>
      <c r="E36" s="15" t="n">
        <v>15600</v>
      </c>
      <c r="F36" s="15" t="n">
        <v>14700</v>
      </c>
      <c r="G36" s="35" t="n">
        <v>430</v>
      </c>
      <c r="H36" s="16" t="n">
        <v>0.5600000000000001</v>
      </c>
      <c r="I36" s="36" t="n">
        <v>0.3826</v>
      </c>
    </row>
    <row r="37">
      <c r="A37" s="19" t="n">
        <v>35</v>
      </c>
      <c r="B37" s="18" t="inlineStr">
        <is>
          <t>Areial</t>
        </is>
      </c>
      <c r="C37" s="19" t="inlineStr">
        <is>
          <t>Q2</t>
        </is>
      </c>
      <c r="D37" s="20" t="n">
        <v>9895</v>
      </c>
      <c r="E37" s="20" t="n">
        <v>21500</v>
      </c>
      <c r="F37" s="20" t="n">
        <v>20200</v>
      </c>
      <c r="G37" s="32" t="n">
        <v>155</v>
      </c>
      <c r="H37" s="21" t="n">
        <v>0.582</v>
      </c>
      <c r="I37" s="22" t="n">
        <v>0.3837</v>
      </c>
    </row>
    <row r="38">
      <c r="A38" s="14" t="n">
        <v>36</v>
      </c>
      <c r="B38" s="13" t="inlineStr">
        <is>
          <t>Tenório</t>
        </is>
      </c>
      <c r="C38" s="14" t="inlineStr">
        <is>
          <t>Q3</t>
        </is>
      </c>
      <c r="D38" s="15" t="n">
        <v>4048</v>
      </c>
      <c r="E38" s="15" t="n">
        <v>13500</v>
      </c>
      <c r="F38" s="15" t="n">
        <v>12700</v>
      </c>
      <c r="G38" s="35" t="n">
        <v>260</v>
      </c>
      <c r="H38" s="16" t="n">
        <v>0.547</v>
      </c>
      <c r="I38" s="36" t="n">
        <v>0.3882</v>
      </c>
    </row>
    <row r="39">
      <c r="A39" s="19" t="n">
        <v>37</v>
      </c>
      <c r="B39" s="18" t="inlineStr">
        <is>
          <t>Olivedos</t>
        </is>
      </c>
      <c r="C39" s="19" t="inlineStr">
        <is>
          <t>Q2</t>
        </is>
      </c>
      <c r="D39" s="20" t="n">
        <v>5168</v>
      </c>
      <c r="E39" s="20" t="n">
        <v>15300</v>
      </c>
      <c r="F39" s="20" t="n">
        <v>14400</v>
      </c>
      <c r="G39" s="32" t="n">
        <v>195</v>
      </c>
      <c r="H39" s="21" t="n">
        <v>0.5649999999999999</v>
      </c>
      <c r="I39" s="22" t="n">
        <v>0.3914</v>
      </c>
    </row>
    <row r="40">
      <c r="A40" s="14" t="n">
        <v>38</v>
      </c>
      <c r="B40" s="13" t="inlineStr">
        <is>
          <t>Catingueira</t>
        </is>
      </c>
      <c r="C40" s="14" t="inlineStr">
        <is>
          <t>Q3</t>
        </is>
      </c>
      <c r="D40" s="15" t="n">
        <v>6678</v>
      </c>
      <c r="E40" s="15" t="n">
        <v>17300</v>
      </c>
      <c r="F40" s="15" t="n">
        <v>16200</v>
      </c>
      <c r="G40" s="35" t="n">
        <v>330</v>
      </c>
      <c r="H40" s="16" t="n">
        <v>0.552</v>
      </c>
      <c r="I40" s="36" t="n">
        <v>0.4019</v>
      </c>
    </row>
    <row r="41">
      <c r="A41" s="19" t="n">
        <v>39</v>
      </c>
      <c r="B41" s="18" t="inlineStr">
        <is>
          <t>Tavares</t>
        </is>
      </c>
      <c r="C41" s="19" t="inlineStr">
        <is>
          <t>Q3</t>
        </is>
      </c>
      <c r="D41" s="20" t="n">
        <v>14968</v>
      </c>
      <c r="E41" s="20" t="n">
        <v>32600</v>
      </c>
      <c r="F41" s="20" t="n">
        <v>30700</v>
      </c>
      <c r="G41" s="32" t="n">
        <v>255</v>
      </c>
      <c r="H41" s="21" t="n">
        <v>0.582</v>
      </c>
      <c r="I41" s="22" t="n">
        <v>0.4124</v>
      </c>
    </row>
    <row r="42">
      <c r="A42" s="14" t="n">
        <v>40</v>
      </c>
      <c r="B42" s="13" t="inlineStr">
        <is>
          <t>Desterro</t>
        </is>
      </c>
      <c r="C42" s="14" t="inlineStr">
        <is>
          <t>Q3</t>
        </is>
      </c>
      <c r="D42" s="15" t="n">
        <v>7928</v>
      </c>
      <c r="E42" s="15" t="n">
        <v>19600</v>
      </c>
      <c r="F42" s="15" t="n">
        <v>18400</v>
      </c>
      <c r="G42" s="35" t="n">
        <v>310</v>
      </c>
      <c r="H42" s="16" t="n">
        <v>0.541</v>
      </c>
      <c r="I42" s="36" t="n">
        <v>0.4157</v>
      </c>
    </row>
    <row r="43">
      <c r="A43" s="19" t="n">
        <v>41</v>
      </c>
      <c r="B43" s="18" t="inlineStr">
        <is>
          <t>Triunfo</t>
        </is>
      </c>
      <c r="C43" s="19" t="inlineStr">
        <is>
          <t>Q4_Distante</t>
        </is>
      </c>
      <c r="D43" s="20" t="n">
        <v>11743</v>
      </c>
      <c r="E43" s="20" t="n">
        <v>25700</v>
      </c>
      <c r="F43" s="20" t="n">
        <v>24200</v>
      </c>
      <c r="G43" s="32" t="n">
        <v>430</v>
      </c>
      <c r="H43" s="21" t="n">
        <v>0.571</v>
      </c>
      <c r="I43" s="22" t="n">
        <v>0.4175</v>
      </c>
    </row>
    <row r="44">
      <c r="A44" s="14" t="n">
        <v>42</v>
      </c>
      <c r="B44" s="13" t="inlineStr">
        <is>
          <t>Fagundes</t>
        </is>
      </c>
      <c r="C44" s="14" t="inlineStr">
        <is>
          <t>Q2</t>
        </is>
      </c>
      <c r="D44" s="15" t="n">
        <v>11483</v>
      </c>
      <c r="E44" s="15" t="n">
        <v>25100</v>
      </c>
      <c r="F44" s="15" t="n">
        <v>23600</v>
      </c>
      <c r="G44" s="35" t="n">
        <v>145</v>
      </c>
      <c r="H44" s="16" t="n">
        <v>0.5669999999999999</v>
      </c>
      <c r="I44" s="36" t="n">
        <v>0.4217</v>
      </c>
    </row>
    <row r="45">
      <c r="A45" s="19" t="n">
        <v>43</v>
      </c>
      <c r="B45" s="18" t="inlineStr">
        <is>
          <t>Olho d'Água</t>
        </is>
      </c>
      <c r="C45" s="19" t="inlineStr">
        <is>
          <t>Q4_Distante</t>
        </is>
      </c>
      <c r="D45" s="20" t="n">
        <v>8843</v>
      </c>
      <c r="E45" s="20" t="n">
        <v>21300</v>
      </c>
      <c r="F45" s="20" t="n">
        <v>20100</v>
      </c>
      <c r="G45" s="32" t="n">
        <v>375</v>
      </c>
      <c r="H45" s="21" t="n">
        <v>0.5649999999999999</v>
      </c>
      <c r="I45" s="22" t="n">
        <v>0.4258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2" customWidth="1" min="5" max="5"/>
    <col width="8" customWidth="1" min="6" max="6"/>
    <col width="16" customWidth="1" min="7" max="7"/>
  </cols>
  <sheetData>
    <row r="1" ht="25" customHeight="1">
      <c r="A1" s="37" t="inlineStr">
        <is>
          <t>MUNICÍPIOS NÃO SELECIONADOS (136 municípios)</t>
        </is>
      </c>
    </row>
    <row r="2" ht="30" customHeight="1">
      <c r="A2" s="38" t="inlineStr">
        <is>
          <t>Município</t>
        </is>
      </c>
      <c r="B2" s="38" t="inlineStr">
        <is>
          <t>Pop. (2022)</t>
        </is>
      </c>
      <c r="C2" s="38" t="inlineStr">
        <is>
          <t>Receita (R$ mil)</t>
        </is>
      </c>
      <c r="D2" s="38" t="inlineStr">
        <is>
          <t>Despesa (R$ mil)</t>
        </is>
      </c>
      <c r="E2" s="38" t="inlineStr">
        <is>
          <t>Dist. Capital (km)</t>
        </is>
      </c>
      <c r="F2" s="38" t="inlineStr">
        <is>
          <t>IDHM</t>
        </is>
      </c>
      <c r="G2" s="38" t="inlineStr">
        <is>
          <t>Estrato Dist.</t>
        </is>
      </c>
    </row>
    <row r="3">
      <c r="A3" s="18" t="inlineStr">
        <is>
          <t>Alagoa Grande</t>
        </is>
      </c>
      <c r="B3" s="20" t="n">
        <v>28065</v>
      </c>
      <c r="C3" s="20" t="n">
        <v>52300</v>
      </c>
      <c r="D3" s="20" t="n">
        <v>49800</v>
      </c>
      <c r="E3" s="32" t="n">
        <v>105</v>
      </c>
      <c r="F3" s="21" t="n">
        <v>0.595</v>
      </c>
      <c r="G3" s="19" t="inlineStr">
        <is>
          <t>Q1_Próximo</t>
        </is>
      </c>
    </row>
    <row r="4">
      <c r="A4" s="39" t="inlineStr">
        <is>
          <t>Alagoa Nova</t>
        </is>
      </c>
      <c r="B4" s="40" t="n">
        <v>19095</v>
      </c>
      <c r="C4" s="40" t="n">
        <v>38700</v>
      </c>
      <c r="D4" s="40" t="n">
        <v>36500</v>
      </c>
      <c r="E4" s="41" t="n">
        <v>130</v>
      </c>
      <c r="F4" s="42" t="n">
        <v>0.613</v>
      </c>
      <c r="G4" s="43" t="inlineStr">
        <is>
          <t>Q1_Próximo</t>
        </is>
      </c>
    </row>
    <row r="5">
      <c r="A5" s="18" t="inlineStr">
        <is>
          <t>Alagoinha</t>
        </is>
      </c>
      <c r="B5" s="20" t="n">
        <v>11036</v>
      </c>
      <c r="C5" s="20" t="n">
        <v>23100</v>
      </c>
      <c r="D5" s="20" t="n">
        <v>21800</v>
      </c>
      <c r="E5" s="32" t="n">
        <v>180</v>
      </c>
      <c r="F5" s="21" t="n">
        <v>0.5629999999999999</v>
      </c>
      <c r="G5" s="19" t="inlineStr">
        <is>
          <t>Q2</t>
        </is>
      </c>
    </row>
    <row r="6">
      <c r="A6" s="39" t="inlineStr">
        <is>
          <t>Alagoinhas</t>
        </is>
      </c>
      <c r="B6" s="40" t="n">
        <v>4128</v>
      </c>
      <c r="C6" s="40" t="n">
        <v>13500</v>
      </c>
      <c r="D6" s="40" t="n">
        <v>12700</v>
      </c>
      <c r="E6" s="41" t="n">
        <v>290</v>
      </c>
      <c r="F6" s="42" t="n">
        <v>0.533</v>
      </c>
      <c r="G6" s="43" t="inlineStr">
        <is>
          <t>Q3</t>
        </is>
      </c>
    </row>
    <row r="7">
      <c r="A7" s="18" t="inlineStr">
        <is>
          <t>Alcantil</t>
        </is>
      </c>
      <c r="B7" s="20" t="n">
        <v>7516</v>
      </c>
      <c r="C7" s="20" t="n">
        <v>17800</v>
      </c>
      <c r="D7" s="20" t="n">
        <v>16700</v>
      </c>
      <c r="E7" s="32" t="n">
        <v>215</v>
      </c>
      <c r="F7" s="21" t="n">
        <v>0.531</v>
      </c>
      <c r="G7" s="19" t="inlineStr">
        <is>
          <t>Q2</t>
        </is>
      </c>
    </row>
    <row r="8">
      <c r="A8" s="39" t="inlineStr">
        <is>
          <t>Algodão de Jandaíra</t>
        </is>
      </c>
      <c r="B8" s="40" t="n">
        <v>3798</v>
      </c>
      <c r="C8" s="40" t="n">
        <v>13200</v>
      </c>
      <c r="D8" s="40" t="n">
        <v>12400</v>
      </c>
      <c r="E8" s="41" t="n">
        <v>195</v>
      </c>
      <c r="F8" s="42" t="n">
        <v>0.524</v>
      </c>
      <c r="G8" s="43" t="inlineStr">
        <is>
          <t>Q2</t>
        </is>
      </c>
    </row>
    <row r="9">
      <c r="A9" s="18" t="inlineStr">
        <is>
          <t>Amparo</t>
        </is>
      </c>
      <c r="B9" s="20" t="n">
        <v>3712</v>
      </c>
      <c r="C9" s="20" t="n">
        <v>13000</v>
      </c>
      <c r="D9" s="20" t="n">
        <v>12200</v>
      </c>
      <c r="E9" s="32" t="n">
        <v>370</v>
      </c>
      <c r="F9" s="21" t="n">
        <v>0.549</v>
      </c>
      <c r="G9" s="19" t="inlineStr">
        <is>
          <t>Q4_Distante</t>
        </is>
      </c>
    </row>
    <row r="10">
      <c r="A10" s="39" t="inlineStr">
        <is>
          <t>Aparecida</t>
        </is>
      </c>
      <c r="B10" s="40" t="n">
        <v>8139</v>
      </c>
      <c r="C10" s="40" t="n">
        <v>19500</v>
      </c>
      <c r="D10" s="40" t="n">
        <v>18300</v>
      </c>
      <c r="E10" s="41" t="n">
        <v>430</v>
      </c>
      <c r="F10" s="42" t="n">
        <v>0.592</v>
      </c>
      <c r="G10" s="43" t="inlineStr">
        <is>
          <t>Q4_Distante</t>
        </is>
      </c>
    </row>
    <row r="11">
      <c r="A11" s="18" t="inlineStr">
        <is>
          <t>Araçagi</t>
        </is>
      </c>
      <c r="B11" s="20" t="n">
        <v>16778</v>
      </c>
      <c r="C11" s="20" t="n">
        <v>35400</v>
      </c>
      <c r="D11" s="20" t="n">
        <v>33200</v>
      </c>
      <c r="E11" s="32" t="n">
        <v>75</v>
      </c>
      <c r="F11" s="21" t="n">
        <v>0.5679999999999999</v>
      </c>
      <c r="G11" s="19" t="inlineStr">
        <is>
          <t>Q1_Próximo</t>
        </is>
      </c>
    </row>
    <row r="12">
      <c r="A12" s="39" t="inlineStr">
        <is>
          <t>Areia</t>
        </is>
      </c>
      <c r="B12" s="40" t="n">
        <v>23228</v>
      </c>
      <c r="C12" s="40" t="n">
        <v>47500</v>
      </c>
      <c r="D12" s="40" t="n">
        <v>44800</v>
      </c>
      <c r="E12" s="41" t="n">
        <v>120</v>
      </c>
      <c r="F12" s="42" t="n">
        <v>0.622</v>
      </c>
      <c r="G12" s="43" t="inlineStr">
        <is>
          <t>Q1_Próximo</t>
        </is>
      </c>
    </row>
    <row r="13">
      <c r="A13" s="18" t="inlineStr">
        <is>
          <t>Areia de Baraúnas</t>
        </is>
      </c>
      <c r="B13" s="20" t="n">
        <v>3198</v>
      </c>
      <c r="C13" s="20" t="n">
        <v>12800</v>
      </c>
      <c r="D13" s="20" t="n">
        <v>12000</v>
      </c>
      <c r="E13" s="32" t="n">
        <v>345</v>
      </c>
      <c r="F13" s="21" t="n">
        <v>0.518</v>
      </c>
      <c r="G13" s="19" t="inlineStr">
        <is>
          <t>Q3</t>
        </is>
      </c>
    </row>
    <row r="14">
      <c r="A14" s="39" t="inlineStr">
        <is>
          <t>Aroeiras</t>
        </is>
      </c>
      <c r="B14" s="40" t="n">
        <v>19244</v>
      </c>
      <c r="C14" s="40" t="n">
        <v>40200</v>
      </c>
      <c r="D14" s="40" t="n">
        <v>37900</v>
      </c>
      <c r="E14" s="41" t="n">
        <v>220</v>
      </c>
      <c r="F14" s="42" t="n">
        <v>0.576</v>
      </c>
      <c r="G14" s="43" t="inlineStr">
        <is>
          <t>Q2</t>
        </is>
      </c>
    </row>
    <row r="15">
      <c r="A15" s="18" t="inlineStr">
        <is>
          <t>Assunção</t>
        </is>
      </c>
      <c r="B15" s="20" t="n">
        <v>5098</v>
      </c>
      <c r="C15" s="20" t="n">
        <v>15200</v>
      </c>
      <c r="D15" s="20" t="n">
        <v>14300</v>
      </c>
      <c r="E15" s="32" t="n">
        <v>270</v>
      </c>
      <c r="F15" s="21" t="n">
        <v>0.541</v>
      </c>
      <c r="G15" s="19" t="inlineStr">
        <is>
          <t>Q3</t>
        </is>
      </c>
    </row>
    <row r="16">
      <c r="A16" s="39" t="inlineStr">
        <is>
          <t>Bananeiras</t>
        </is>
      </c>
      <c r="B16" s="40" t="n">
        <v>22800</v>
      </c>
      <c r="C16" s="40" t="n">
        <v>46500</v>
      </c>
      <c r="D16" s="40" t="n">
        <v>43800</v>
      </c>
      <c r="E16" s="41" t="n">
        <v>145</v>
      </c>
      <c r="F16" s="42" t="n">
        <v>0.614</v>
      </c>
      <c r="G16" s="43" t="inlineStr">
        <is>
          <t>Q2</t>
        </is>
      </c>
    </row>
    <row r="17">
      <c r="A17" s="18" t="inlineStr">
        <is>
          <t>Baraúna</t>
        </is>
      </c>
      <c r="B17" s="20" t="n">
        <v>5578</v>
      </c>
      <c r="C17" s="20" t="n">
        <v>15800</v>
      </c>
      <c r="D17" s="20" t="n">
        <v>14900</v>
      </c>
      <c r="E17" s="32" t="n">
        <v>340</v>
      </c>
      <c r="F17" s="21" t="n">
        <v>0.53</v>
      </c>
      <c r="G17" s="19" t="inlineStr">
        <is>
          <t>Q3</t>
        </is>
      </c>
    </row>
    <row r="18">
      <c r="A18" s="39" t="inlineStr">
        <is>
          <t>Barra de Santa Rosa</t>
        </is>
      </c>
      <c r="B18" s="40" t="n">
        <v>15765</v>
      </c>
      <c r="C18" s="40" t="n">
        <v>33200</v>
      </c>
      <c r="D18" s="40" t="n">
        <v>31300</v>
      </c>
      <c r="E18" s="41" t="n">
        <v>185</v>
      </c>
      <c r="F18" s="42" t="n">
        <v>0.5580000000000001</v>
      </c>
      <c r="G18" s="43" t="inlineStr">
        <is>
          <t>Q2</t>
        </is>
      </c>
    </row>
    <row r="19">
      <c r="A19" s="18" t="inlineStr">
        <is>
          <t>Barra de Santana</t>
        </is>
      </c>
      <c r="B19" s="20" t="n">
        <v>9823</v>
      </c>
      <c r="C19" s="20" t="n">
        <v>21800</v>
      </c>
      <c r="D19" s="20" t="n">
        <v>20500</v>
      </c>
      <c r="E19" s="32" t="n">
        <v>195</v>
      </c>
      <c r="F19" s="21" t="n">
        <v>0.539</v>
      </c>
      <c r="G19" s="19" t="inlineStr">
        <is>
          <t>Q2</t>
        </is>
      </c>
    </row>
    <row r="20">
      <c r="A20" s="39" t="inlineStr">
        <is>
          <t>Barra de São Miguel</t>
        </is>
      </c>
      <c r="B20" s="40" t="n">
        <v>9028</v>
      </c>
      <c r="C20" s="40" t="n">
        <v>20500</v>
      </c>
      <c r="D20" s="40" t="n">
        <v>19300</v>
      </c>
      <c r="E20" s="41" t="n">
        <v>230</v>
      </c>
      <c r="F20" s="42" t="n">
        <v>0.546</v>
      </c>
      <c r="G20" s="43" t="inlineStr">
        <is>
          <t>Q2</t>
        </is>
      </c>
    </row>
    <row r="21">
      <c r="A21" s="18" t="inlineStr">
        <is>
          <t>Bayeux</t>
        </is>
      </c>
      <c r="B21" s="20" t="n">
        <v>104454</v>
      </c>
      <c r="C21" s="20" t="n">
        <v>189300</v>
      </c>
      <c r="D21" s="20" t="n">
        <v>178600</v>
      </c>
      <c r="E21" s="32" t="n">
        <v>18</v>
      </c>
      <c r="F21" s="21" t="n">
        <v>0.66</v>
      </c>
      <c r="G21" s="19" t="inlineStr">
        <is>
          <t>Q1_Próximo</t>
        </is>
      </c>
    </row>
    <row r="22">
      <c r="A22" s="39" t="inlineStr">
        <is>
          <t>Baía da Traição</t>
        </is>
      </c>
      <c r="B22" s="40" t="n">
        <v>9613</v>
      </c>
      <c r="C22" s="40" t="n">
        <v>27800</v>
      </c>
      <c r="D22" s="40" t="n">
        <v>26100</v>
      </c>
      <c r="E22" s="41" t="n">
        <v>95</v>
      </c>
      <c r="F22" s="42" t="n">
        <v>0.575</v>
      </c>
      <c r="G22" s="43" t="inlineStr">
        <is>
          <t>Q1_Próximo</t>
        </is>
      </c>
    </row>
    <row r="23">
      <c r="A23" s="18" t="inlineStr">
        <is>
          <t>Belém do Brejo do Cruz</t>
        </is>
      </c>
      <c r="B23" s="20" t="n">
        <v>8498</v>
      </c>
      <c r="C23" s="20" t="n">
        <v>20100</v>
      </c>
      <c r="D23" s="20" t="n">
        <v>18900</v>
      </c>
      <c r="E23" s="32" t="n">
        <v>355</v>
      </c>
      <c r="F23" s="21" t="n">
        <v>0.546</v>
      </c>
      <c r="G23" s="19" t="inlineStr">
        <is>
          <t>Q4_Distante</t>
        </is>
      </c>
    </row>
    <row r="24">
      <c r="A24" s="39" t="inlineStr">
        <is>
          <t>Bernardino Batista</t>
        </is>
      </c>
      <c r="B24" s="40" t="n">
        <v>3893</v>
      </c>
      <c r="C24" s="40" t="n">
        <v>13300</v>
      </c>
      <c r="D24" s="40" t="n">
        <v>12500</v>
      </c>
      <c r="E24" s="41" t="n">
        <v>505</v>
      </c>
      <c r="F24" s="42" t="n">
        <v>0.53</v>
      </c>
      <c r="G24" s="43" t="inlineStr">
        <is>
          <t>Q4_Distante</t>
        </is>
      </c>
    </row>
    <row r="25">
      <c r="A25" s="18" t="inlineStr">
        <is>
          <t>Boa Ventura</t>
        </is>
      </c>
      <c r="B25" s="20" t="n">
        <v>6773</v>
      </c>
      <c r="C25" s="20" t="n">
        <v>17200</v>
      </c>
      <c r="D25" s="20" t="n">
        <v>16200</v>
      </c>
      <c r="E25" s="32" t="n">
        <v>325</v>
      </c>
      <c r="F25" s="21" t="n">
        <v>0.545</v>
      </c>
      <c r="G25" s="19" t="inlineStr">
        <is>
          <t>Q3</t>
        </is>
      </c>
    </row>
    <row r="26">
      <c r="A26" s="39" t="inlineStr">
        <is>
          <t>Bonito de Santa Fé</t>
        </is>
      </c>
      <c r="B26" s="40" t="n">
        <v>11013</v>
      </c>
      <c r="C26" s="40" t="n">
        <v>24500</v>
      </c>
      <c r="D26" s="40" t="n">
        <v>23000</v>
      </c>
      <c r="E26" s="41" t="n">
        <v>465</v>
      </c>
      <c r="F26" s="42" t="n">
        <v>0.575</v>
      </c>
      <c r="G26" s="43" t="inlineStr">
        <is>
          <t>Q4_Distante</t>
        </is>
      </c>
    </row>
    <row r="27">
      <c r="A27" s="18" t="inlineStr">
        <is>
          <t>Borborema</t>
        </is>
      </c>
      <c r="B27" s="20" t="n">
        <v>5868</v>
      </c>
      <c r="C27" s="20" t="n">
        <v>16100</v>
      </c>
      <c r="D27" s="20" t="n">
        <v>15100</v>
      </c>
      <c r="E27" s="32" t="n">
        <v>125</v>
      </c>
      <c r="F27" s="21" t="n">
        <v>0.589</v>
      </c>
      <c r="G27" s="19" t="inlineStr">
        <is>
          <t>Q1_Próximo</t>
        </is>
      </c>
    </row>
    <row r="28">
      <c r="A28" s="39" t="inlineStr">
        <is>
          <t>Caaporã</t>
        </is>
      </c>
      <c r="B28" s="40" t="n">
        <v>22678</v>
      </c>
      <c r="C28" s="40" t="n">
        <v>49200</v>
      </c>
      <c r="D28" s="40" t="n">
        <v>46400</v>
      </c>
      <c r="E28" s="41" t="n">
        <v>65</v>
      </c>
      <c r="F28" s="42" t="n">
        <v>0.612</v>
      </c>
      <c r="G28" s="43" t="inlineStr">
        <is>
          <t>Q1_Próximo</t>
        </is>
      </c>
    </row>
    <row r="29">
      <c r="A29" s="18" t="inlineStr">
        <is>
          <t>Cabaceiras</t>
        </is>
      </c>
      <c r="B29" s="20" t="n">
        <v>5563</v>
      </c>
      <c r="C29" s="20" t="n">
        <v>16000</v>
      </c>
      <c r="D29" s="20" t="n">
        <v>15000</v>
      </c>
      <c r="E29" s="32" t="n">
        <v>185</v>
      </c>
      <c r="F29" s="21" t="n">
        <v>0.598</v>
      </c>
      <c r="G29" s="19" t="inlineStr">
        <is>
          <t>Q2</t>
        </is>
      </c>
    </row>
    <row r="30">
      <c r="A30" s="39" t="inlineStr">
        <is>
          <t>Cabedelo</t>
        </is>
      </c>
      <c r="B30" s="40" t="n">
        <v>65283</v>
      </c>
      <c r="C30" s="40" t="n">
        <v>175400</v>
      </c>
      <c r="D30" s="40" t="n">
        <v>165200</v>
      </c>
      <c r="E30" s="41" t="n">
        <v>22</v>
      </c>
      <c r="F30" s="42" t="n">
        <v>0.748</v>
      </c>
      <c r="G30" s="43" t="inlineStr">
        <is>
          <t>Q1_Próximo</t>
        </is>
      </c>
    </row>
    <row r="31">
      <c r="A31" s="18" t="inlineStr">
        <is>
          <t>Cacimba de Areia</t>
        </is>
      </c>
      <c r="B31" s="20" t="n">
        <v>4523</v>
      </c>
      <c r="C31" s="20" t="n">
        <v>14300</v>
      </c>
      <c r="D31" s="20" t="n">
        <v>13500</v>
      </c>
      <c r="E31" s="32" t="n">
        <v>375</v>
      </c>
      <c r="F31" s="21" t="n">
        <v>0.517</v>
      </c>
      <c r="G31" s="19" t="inlineStr">
        <is>
          <t>Q4_Distante</t>
        </is>
      </c>
    </row>
    <row r="32">
      <c r="A32" s="39" t="inlineStr">
        <is>
          <t>Cacimbas</t>
        </is>
      </c>
      <c r="B32" s="40" t="n">
        <v>7603</v>
      </c>
      <c r="C32" s="40" t="n">
        <v>18900</v>
      </c>
      <c r="D32" s="40" t="n">
        <v>17700</v>
      </c>
      <c r="E32" s="41" t="n">
        <v>330</v>
      </c>
      <c r="F32" s="42" t="n">
        <v>0.546</v>
      </c>
      <c r="G32" s="43" t="inlineStr">
        <is>
          <t>Q3</t>
        </is>
      </c>
    </row>
    <row r="33">
      <c r="A33" s="18" t="inlineStr">
        <is>
          <t>Caiçara</t>
        </is>
      </c>
      <c r="B33" s="20" t="n">
        <v>8883</v>
      </c>
      <c r="C33" s="20" t="n">
        <v>21200</v>
      </c>
      <c r="D33" s="20" t="n">
        <v>19900</v>
      </c>
      <c r="E33" s="32" t="n">
        <v>265</v>
      </c>
      <c r="F33" s="21" t="n">
        <v>0.5679999999999999</v>
      </c>
      <c r="G33" s="19" t="inlineStr">
        <is>
          <t>Q3</t>
        </is>
      </c>
    </row>
    <row r="34">
      <c r="A34" s="39" t="inlineStr">
        <is>
          <t>Cajazeiras</t>
        </is>
      </c>
      <c r="B34" s="40" t="n">
        <v>61723</v>
      </c>
      <c r="C34" s="40" t="n">
        <v>132800</v>
      </c>
      <c r="D34" s="40" t="n">
        <v>125100</v>
      </c>
      <c r="E34" s="41" t="n">
        <v>480</v>
      </c>
      <c r="F34" s="42" t="n">
        <v>0.678</v>
      </c>
      <c r="G34" s="43" t="inlineStr">
        <is>
          <t>Q4_Distante</t>
        </is>
      </c>
    </row>
    <row r="35">
      <c r="A35" s="18" t="inlineStr">
        <is>
          <t>Caldas Brandão</t>
        </is>
      </c>
      <c r="B35" s="20" t="n">
        <v>6143</v>
      </c>
      <c r="C35" s="20" t="n">
        <v>16300</v>
      </c>
      <c r="D35" s="20" t="n">
        <v>15300</v>
      </c>
      <c r="E35" s="32" t="n">
        <v>65</v>
      </c>
      <c r="F35" s="21" t="n">
        <v>0.579</v>
      </c>
      <c r="G35" s="19" t="inlineStr">
        <is>
          <t>Q1_Próximo</t>
        </is>
      </c>
    </row>
    <row r="36">
      <c r="A36" s="39" t="inlineStr">
        <is>
          <t>Camalaú</t>
        </is>
      </c>
      <c r="B36" s="40" t="n">
        <v>9478</v>
      </c>
      <c r="C36" s="40" t="n">
        <v>22000</v>
      </c>
      <c r="D36" s="40" t="n">
        <v>20700</v>
      </c>
      <c r="E36" s="41" t="n">
        <v>260</v>
      </c>
      <c r="F36" s="42" t="n">
        <v>0.543</v>
      </c>
      <c r="G36" s="43" t="inlineStr">
        <is>
          <t>Q3</t>
        </is>
      </c>
    </row>
    <row r="37">
      <c r="A37" s="18" t="inlineStr">
        <is>
          <t>Campina Grande</t>
        </is>
      </c>
      <c r="B37" s="20" t="n">
        <v>413830</v>
      </c>
      <c r="C37" s="20" t="n">
        <v>1245600</v>
      </c>
      <c r="D37" s="20" t="n">
        <v>1173800</v>
      </c>
      <c r="E37" s="32" t="n">
        <v>130</v>
      </c>
      <c r="F37" s="21" t="n">
        <v>0.72</v>
      </c>
      <c r="G37" s="19" t="inlineStr">
        <is>
          <t>Q1_Próximo</t>
        </is>
      </c>
    </row>
    <row r="38">
      <c r="A38" s="39" t="inlineStr">
        <is>
          <t>Campo de Santana</t>
        </is>
      </c>
      <c r="B38" s="40" t="n">
        <v>10893</v>
      </c>
      <c r="C38" s="40" t="n">
        <v>23800</v>
      </c>
      <c r="D38" s="40" t="n">
        <v>22400</v>
      </c>
      <c r="E38" s="41" t="n">
        <v>265</v>
      </c>
      <c r="F38" s="42" t="n">
        <v>0.531</v>
      </c>
      <c r="G38" s="43" t="inlineStr">
        <is>
          <t>Q3</t>
        </is>
      </c>
    </row>
    <row r="39">
      <c r="A39" s="18" t="inlineStr">
        <is>
          <t>Caraúbas</t>
        </is>
      </c>
      <c r="B39" s="20" t="n">
        <v>5593</v>
      </c>
      <c r="C39" s="20" t="n">
        <v>15800</v>
      </c>
      <c r="D39" s="20" t="n">
        <v>14800</v>
      </c>
      <c r="E39" s="32" t="n">
        <v>265</v>
      </c>
      <c r="F39" s="21" t="n">
        <v>0.528</v>
      </c>
      <c r="G39" s="19" t="inlineStr">
        <is>
          <t>Q3</t>
        </is>
      </c>
    </row>
    <row r="40">
      <c r="A40" s="39" t="inlineStr">
        <is>
          <t>Carrapateira</t>
        </is>
      </c>
      <c r="B40" s="40" t="n">
        <v>3788</v>
      </c>
      <c r="C40" s="40" t="n">
        <v>13100</v>
      </c>
      <c r="D40" s="40" t="n">
        <v>12400</v>
      </c>
      <c r="E40" s="41" t="n">
        <v>475</v>
      </c>
      <c r="F40" s="42" t="n">
        <v>0.528</v>
      </c>
      <c r="G40" s="43" t="inlineStr">
        <is>
          <t>Q4_Distante</t>
        </is>
      </c>
    </row>
    <row r="41">
      <c r="A41" s="18" t="inlineStr">
        <is>
          <t>Casserengue</t>
        </is>
      </c>
      <c r="B41" s="20" t="n">
        <v>9503</v>
      </c>
      <c r="C41" s="20" t="n">
        <v>21800</v>
      </c>
      <c r="D41" s="20" t="n">
        <v>20500</v>
      </c>
      <c r="E41" s="32" t="n">
        <v>175</v>
      </c>
      <c r="F41" s="21" t="n">
        <v>0.55</v>
      </c>
      <c r="G41" s="19" t="inlineStr">
        <is>
          <t>Q2</t>
        </is>
      </c>
    </row>
    <row r="42">
      <c r="A42" s="39" t="inlineStr">
        <is>
          <t>Catolé do Rocha</t>
        </is>
      </c>
      <c r="B42" s="40" t="n">
        <v>30060</v>
      </c>
      <c r="C42" s="40" t="n">
        <v>59800</v>
      </c>
      <c r="D42" s="40" t="n">
        <v>56300</v>
      </c>
      <c r="E42" s="41" t="n">
        <v>380</v>
      </c>
      <c r="F42" s="42" t="n">
        <v>0.634</v>
      </c>
      <c r="G42" s="43" t="inlineStr">
        <is>
          <t>Q4_Distante</t>
        </is>
      </c>
    </row>
    <row r="43">
      <c r="A43" s="18" t="inlineStr">
        <is>
          <t>Condado</t>
        </is>
      </c>
      <c r="B43" s="20" t="n">
        <v>7478</v>
      </c>
      <c r="C43" s="20" t="n">
        <v>18700</v>
      </c>
      <c r="D43" s="20" t="n">
        <v>17600</v>
      </c>
      <c r="E43" s="32" t="n">
        <v>100</v>
      </c>
      <c r="F43" s="21" t="n">
        <v>0.5679999999999999</v>
      </c>
      <c r="G43" s="19" t="inlineStr">
        <is>
          <t>Q1_Próximo</t>
        </is>
      </c>
    </row>
    <row r="44">
      <c r="A44" s="39" t="inlineStr">
        <is>
          <t>Conde</t>
        </is>
      </c>
      <c r="B44" s="40" t="n">
        <v>24390</v>
      </c>
      <c r="C44" s="40" t="n">
        <v>52800</v>
      </c>
      <c r="D44" s="40" t="n">
        <v>49800</v>
      </c>
      <c r="E44" s="41" t="n">
        <v>42</v>
      </c>
      <c r="F44" s="42" t="n">
        <v>0.608</v>
      </c>
      <c r="G44" s="43" t="inlineStr">
        <is>
          <t>Q1_Próximo</t>
        </is>
      </c>
    </row>
    <row r="45">
      <c r="A45" s="18" t="inlineStr">
        <is>
          <t>Coremas</t>
        </is>
      </c>
      <c r="B45" s="20" t="n">
        <v>16603</v>
      </c>
      <c r="C45" s="20" t="n">
        <v>35100</v>
      </c>
      <c r="D45" s="20" t="n">
        <v>33000</v>
      </c>
      <c r="E45" s="32" t="n">
        <v>340</v>
      </c>
      <c r="F45" s="21" t="n">
        <v>0.58</v>
      </c>
      <c r="G45" s="19" t="inlineStr">
        <is>
          <t>Q3</t>
        </is>
      </c>
    </row>
    <row r="46">
      <c r="A46" s="39" t="inlineStr">
        <is>
          <t>Coxixola</t>
        </is>
      </c>
      <c r="B46" s="40" t="n">
        <v>2763</v>
      </c>
      <c r="C46" s="40" t="n">
        <v>12300</v>
      </c>
      <c r="D46" s="40" t="n">
        <v>11600</v>
      </c>
      <c r="E46" s="41" t="n">
        <v>230</v>
      </c>
      <c r="F46" s="42" t="n">
        <v>0.519</v>
      </c>
      <c r="G46" s="43" t="inlineStr">
        <is>
          <t>Q2</t>
        </is>
      </c>
    </row>
    <row r="47">
      <c r="A47" s="18" t="inlineStr">
        <is>
          <t>Cruz do Espírito Santo</t>
        </is>
      </c>
      <c r="B47" s="20" t="n">
        <v>17428</v>
      </c>
      <c r="C47" s="20" t="n">
        <v>37200</v>
      </c>
      <c r="D47" s="20" t="n">
        <v>35100</v>
      </c>
      <c r="E47" s="32" t="n">
        <v>35</v>
      </c>
      <c r="F47" s="21" t="n">
        <v>0.5639999999999999</v>
      </c>
      <c r="G47" s="19" t="inlineStr">
        <is>
          <t>Q1_Próximo</t>
        </is>
      </c>
    </row>
    <row r="48">
      <c r="A48" s="39" t="inlineStr">
        <is>
          <t>Cuité</t>
        </is>
      </c>
      <c r="B48" s="40" t="n">
        <v>19788</v>
      </c>
      <c r="C48" s="40" t="n">
        <v>41700</v>
      </c>
      <c r="D48" s="40" t="n">
        <v>39300</v>
      </c>
      <c r="E48" s="41" t="n">
        <v>205</v>
      </c>
      <c r="F48" s="42" t="n">
        <v>0.614</v>
      </c>
      <c r="G48" s="43" t="inlineStr">
        <is>
          <t>Q2</t>
        </is>
      </c>
    </row>
    <row r="49">
      <c r="A49" s="18" t="inlineStr">
        <is>
          <t>Cuité de Mamanguape</t>
        </is>
      </c>
      <c r="B49" s="20" t="n">
        <v>7128</v>
      </c>
      <c r="C49" s="20" t="n">
        <v>18300</v>
      </c>
      <c r="D49" s="20" t="n">
        <v>17200</v>
      </c>
      <c r="E49" s="32" t="n">
        <v>80</v>
      </c>
      <c r="F49" s="21" t="n">
        <v>0.5600000000000001</v>
      </c>
      <c r="G49" s="19" t="inlineStr">
        <is>
          <t>Q1_Próximo</t>
        </is>
      </c>
    </row>
    <row r="50">
      <c r="A50" s="39" t="inlineStr">
        <is>
          <t>Diamante</t>
        </is>
      </c>
      <c r="B50" s="40" t="n">
        <v>8753</v>
      </c>
      <c r="C50" s="40" t="n">
        <v>21100</v>
      </c>
      <c r="D50" s="40" t="n">
        <v>19800</v>
      </c>
      <c r="E50" s="41" t="n">
        <v>370</v>
      </c>
      <c r="F50" s="42" t="n">
        <v>0.5580000000000001</v>
      </c>
      <c r="G50" s="43" t="inlineStr">
        <is>
          <t>Q4_Distante</t>
        </is>
      </c>
    </row>
    <row r="51">
      <c r="A51" s="18" t="inlineStr">
        <is>
          <t>Dona Inês</t>
        </is>
      </c>
      <c r="B51" s="20" t="n">
        <v>11918</v>
      </c>
      <c r="C51" s="20" t="n">
        <v>25800</v>
      </c>
      <c r="D51" s="20" t="n">
        <v>24300</v>
      </c>
      <c r="E51" s="32" t="n">
        <v>145</v>
      </c>
      <c r="F51" s="21" t="n">
        <v>0.598</v>
      </c>
      <c r="G51" s="19" t="inlineStr">
        <is>
          <t>Q2</t>
        </is>
      </c>
    </row>
    <row r="52">
      <c r="A52" s="39" t="inlineStr">
        <is>
          <t>Duas Estradas</t>
        </is>
      </c>
      <c r="B52" s="40" t="n">
        <v>5413</v>
      </c>
      <c r="C52" s="40" t="n">
        <v>15500</v>
      </c>
      <c r="D52" s="40" t="n">
        <v>14600</v>
      </c>
      <c r="E52" s="41" t="n">
        <v>115</v>
      </c>
      <c r="F52" s="42" t="n">
        <v>0.556</v>
      </c>
      <c r="G52" s="43" t="inlineStr">
        <is>
          <t>Q1_Próximo</t>
        </is>
      </c>
    </row>
    <row r="53">
      <c r="A53" s="18" t="inlineStr">
        <is>
          <t>Esperança</t>
        </is>
      </c>
      <c r="B53" s="20" t="n">
        <v>34400</v>
      </c>
      <c r="C53" s="20" t="n">
        <v>71200</v>
      </c>
      <c r="D53" s="20" t="n">
        <v>67100</v>
      </c>
      <c r="E53" s="32" t="n">
        <v>150</v>
      </c>
      <c r="F53" s="21" t="n">
        <v>0.637</v>
      </c>
      <c r="G53" s="19" t="inlineStr">
        <is>
          <t>Q2</t>
        </is>
      </c>
    </row>
    <row r="54">
      <c r="A54" s="39" t="inlineStr">
        <is>
          <t>Frei Martinho</t>
        </is>
      </c>
      <c r="B54" s="40" t="n">
        <v>3793</v>
      </c>
      <c r="C54" s="40" t="n">
        <v>13100</v>
      </c>
      <c r="D54" s="40" t="n">
        <v>12400</v>
      </c>
      <c r="E54" s="41" t="n">
        <v>235</v>
      </c>
      <c r="F54" s="42" t="n">
        <v>0.532</v>
      </c>
      <c r="G54" s="43" t="inlineStr">
        <is>
          <t>Q2</t>
        </is>
      </c>
    </row>
    <row r="55">
      <c r="A55" s="18" t="inlineStr">
        <is>
          <t>Gado Bravo</t>
        </is>
      </c>
      <c r="B55" s="20" t="n">
        <v>7678</v>
      </c>
      <c r="C55" s="20" t="n">
        <v>19000</v>
      </c>
      <c r="D55" s="20" t="n">
        <v>17800</v>
      </c>
      <c r="E55" s="32" t="n">
        <v>195</v>
      </c>
      <c r="F55" s="21" t="n">
        <v>0.545</v>
      </c>
      <c r="G55" s="19" t="inlineStr">
        <is>
          <t>Q2</t>
        </is>
      </c>
    </row>
    <row r="56">
      <c r="A56" s="39" t="inlineStr">
        <is>
          <t>Guarabira</t>
        </is>
      </c>
      <c r="B56" s="40" t="n">
        <v>58442</v>
      </c>
      <c r="C56" s="40" t="n">
        <v>126500</v>
      </c>
      <c r="D56" s="40" t="n">
        <v>119200</v>
      </c>
      <c r="E56" s="41" t="n">
        <v>90</v>
      </c>
      <c r="F56" s="42" t="n">
        <v>0.676</v>
      </c>
      <c r="G56" s="43" t="inlineStr">
        <is>
          <t>Q1_Próximo</t>
        </is>
      </c>
    </row>
    <row r="57">
      <c r="A57" s="18" t="inlineStr">
        <is>
          <t>Gurjão</t>
        </is>
      </c>
      <c r="B57" s="20" t="n">
        <v>3563</v>
      </c>
      <c r="C57" s="20" t="n">
        <v>13000</v>
      </c>
      <c r="D57" s="20" t="n">
        <v>12200</v>
      </c>
      <c r="E57" s="32" t="n">
        <v>215</v>
      </c>
      <c r="F57" s="21" t="n">
        <v>0.543</v>
      </c>
      <c r="G57" s="19" t="inlineStr">
        <is>
          <t>Q2</t>
        </is>
      </c>
    </row>
    <row r="58">
      <c r="A58" s="39" t="inlineStr">
        <is>
          <t>Ibiara</t>
        </is>
      </c>
      <c r="B58" s="40" t="n">
        <v>7618</v>
      </c>
      <c r="C58" s="40" t="n">
        <v>18900</v>
      </c>
      <c r="D58" s="40" t="n">
        <v>17700</v>
      </c>
      <c r="E58" s="41" t="n">
        <v>400</v>
      </c>
      <c r="F58" s="42" t="n">
        <v>0.551</v>
      </c>
      <c r="G58" s="43" t="inlineStr">
        <is>
          <t>Q4_Distante</t>
        </is>
      </c>
    </row>
    <row r="59">
      <c r="A59" s="18" t="inlineStr">
        <is>
          <t>Igaracy</t>
        </is>
      </c>
      <c r="B59" s="20" t="n">
        <v>11843</v>
      </c>
      <c r="C59" s="20" t="n">
        <v>25700</v>
      </c>
      <c r="D59" s="20" t="n">
        <v>24200</v>
      </c>
      <c r="E59" s="32" t="n">
        <v>330</v>
      </c>
      <c r="F59" s="21" t="n">
        <v>0.5679999999999999</v>
      </c>
      <c r="G59" s="19" t="inlineStr">
        <is>
          <t>Q3</t>
        </is>
      </c>
    </row>
    <row r="60">
      <c r="A60" s="39" t="inlineStr">
        <is>
          <t>Imaculada</t>
        </is>
      </c>
      <c r="B60" s="40" t="n">
        <v>11563</v>
      </c>
      <c r="C60" s="40" t="n">
        <v>25100</v>
      </c>
      <c r="D60" s="40" t="n">
        <v>23600</v>
      </c>
      <c r="E60" s="41" t="n">
        <v>340</v>
      </c>
      <c r="F60" s="42" t="n">
        <v>0.572</v>
      </c>
      <c r="G60" s="43" t="inlineStr">
        <is>
          <t>Q3</t>
        </is>
      </c>
    </row>
    <row r="61">
      <c r="A61" s="18" t="inlineStr">
        <is>
          <t>Ingá</t>
        </is>
      </c>
      <c r="B61" s="20" t="n">
        <v>17588</v>
      </c>
      <c r="C61" s="20" t="n">
        <v>37400</v>
      </c>
      <c r="D61" s="20" t="n">
        <v>35200</v>
      </c>
      <c r="E61" s="32" t="n">
        <v>115</v>
      </c>
      <c r="F61" s="21" t="n">
        <v>0.589</v>
      </c>
      <c r="G61" s="19" t="inlineStr">
        <is>
          <t>Q1_Próximo</t>
        </is>
      </c>
    </row>
    <row r="62">
      <c r="A62" s="39" t="inlineStr">
        <is>
          <t>Itabaiana</t>
        </is>
      </c>
      <c r="B62" s="40" t="n">
        <v>26918</v>
      </c>
      <c r="C62" s="40" t="n">
        <v>56300</v>
      </c>
      <c r="D62" s="40" t="n">
        <v>53100</v>
      </c>
      <c r="E62" s="41" t="n">
        <v>105</v>
      </c>
      <c r="F62" s="42" t="n">
        <v>0.611</v>
      </c>
      <c r="G62" s="43" t="inlineStr">
        <is>
          <t>Q1_Próximo</t>
        </is>
      </c>
    </row>
    <row r="63">
      <c r="A63" s="18" t="inlineStr">
        <is>
          <t>Jacaraú</t>
        </is>
      </c>
      <c r="B63" s="20" t="n">
        <v>14483</v>
      </c>
      <c r="C63" s="20" t="n">
        <v>31200</v>
      </c>
      <c r="D63" s="20" t="n">
        <v>29400</v>
      </c>
      <c r="E63" s="32" t="n">
        <v>95</v>
      </c>
      <c r="F63" s="21" t="n">
        <v>0.5570000000000001</v>
      </c>
      <c r="G63" s="19" t="inlineStr">
        <is>
          <t>Q1_Próximo</t>
        </is>
      </c>
    </row>
    <row r="64">
      <c r="A64" s="39" t="inlineStr">
        <is>
          <t>Jericó</t>
        </is>
      </c>
      <c r="B64" s="40" t="n">
        <v>7778</v>
      </c>
      <c r="C64" s="40" t="n">
        <v>19200</v>
      </c>
      <c r="D64" s="40" t="n">
        <v>18100</v>
      </c>
      <c r="E64" s="41" t="n">
        <v>380</v>
      </c>
      <c r="F64" s="42" t="n">
        <v>0.577</v>
      </c>
      <c r="G64" s="43" t="inlineStr">
        <is>
          <t>Q4_Distante</t>
        </is>
      </c>
    </row>
    <row r="65">
      <c r="A65" s="18" t="inlineStr">
        <is>
          <t>João Pessoa</t>
        </is>
      </c>
      <c r="B65" s="20" t="n">
        <v>1101884</v>
      </c>
      <c r="C65" s="20" t="n">
        <v>3456700</v>
      </c>
      <c r="D65" s="20" t="n">
        <v>3258900</v>
      </c>
      <c r="E65" s="32" t="n">
        <v>0</v>
      </c>
      <c r="F65" s="21" t="n">
        <v>0.763</v>
      </c>
      <c r="G65" s="19" t="inlineStr">
        <is>
          <t>Q1_Próximo</t>
        </is>
      </c>
    </row>
    <row r="66">
      <c r="A66" s="39" t="inlineStr">
        <is>
          <t>Juarez Távora</t>
        </is>
      </c>
      <c r="B66" s="40" t="n">
        <v>9743</v>
      </c>
      <c r="C66" s="40" t="n">
        <v>22200</v>
      </c>
      <c r="D66" s="40" t="n">
        <v>20900</v>
      </c>
      <c r="E66" s="41" t="n">
        <v>165</v>
      </c>
      <c r="F66" s="42" t="n">
        <v>0.581</v>
      </c>
      <c r="G66" s="43" t="inlineStr">
        <is>
          <t>Q2</t>
        </is>
      </c>
    </row>
    <row r="67">
      <c r="A67" s="18" t="inlineStr">
        <is>
          <t>Juazeirinho</t>
        </is>
      </c>
      <c r="B67" s="20" t="n">
        <v>17588</v>
      </c>
      <c r="C67" s="20" t="n">
        <v>37300</v>
      </c>
      <c r="D67" s="20" t="n">
        <v>35200</v>
      </c>
      <c r="E67" s="32" t="n">
        <v>225</v>
      </c>
      <c r="F67" s="21" t="n">
        <v>0.588</v>
      </c>
      <c r="G67" s="19" t="inlineStr">
        <is>
          <t>Q2</t>
        </is>
      </c>
    </row>
    <row r="68">
      <c r="A68" s="39" t="inlineStr">
        <is>
          <t>Junco do Seridó</t>
        </is>
      </c>
      <c r="B68" s="40" t="n">
        <v>7273</v>
      </c>
      <c r="C68" s="40" t="n">
        <v>18500</v>
      </c>
      <c r="D68" s="40" t="n">
        <v>17400</v>
      </c>
      <c r="E68" s="41" t="n">
        <v>285</v>
      </c>
      <c r="F68" s="42" t="n">
        <v>0.57</v>
      </c>
      <c r="G68" s="43" t="inlineStr">
        <is>
          <t>Q3</t>
        </is>
      </c>
    </row>
    <row r="69">
      <c r="A69" s="18" t="inlineStr">
        <is>
          <t>Juru</t>
        </is>
      </c>
      <c r="B69" s="20" t="n">
        <v>11253</v>
      </c>
      <c r="C69" s="20" t="n">
        <v>24500</v>
      </c>
      <c r="D69" s="20" t="n">
        <v>23100</v>
      </c>
      <c r="E69" s="32" t="n">
        <v>355</v>
      </c>
      <c r="F69" s="21" t="n">
        <v>0.556</v>
      </c>
      <c r="G69" s="19" t="inlineStr">
        <is>
          <t>Q4_Distante</t>
        </is>
      </c>
    </row>
    <row r="70">
      <c r="A70" s="39" t="inlineStr">
        <is>
          <t>Lagoa</t>
        </is>
      </c>
      <c r="B70" s="40" t="n">
        <v>6923</v>
      </c>
      <c r="C70" s="40" t="n">
        <v>17800</v>
      </c>
      <c r="D70" s="40" t="n">
        <v>16800</v>
      </c>
      <c r="E70" s="41" t="n">
        <v>390</v>
      </c>
      <c r="F70" s="42" t="n">
        <v>0.549</v>
      </c>
      <c r="G70" s="43" t="inlineStr">
        <is>
          <t>Q4_Distante</t>
        </is>
      </c>
    </row>
    <row r="71">
      <c r="A71" s="18" t="inlineStr">
        <is>
          <t>Lagoa Seca</t>
        </is>
      </c>
      <c r="B71" s="20" t="n">
        <v>26393</v>
      </c>
      <c r="C71" s="20" t="n">
        <v>55600</v>
      </c>
      <c r="D71" s="20" t="n">
        <v>52400</v>
      </c>
      <c r="E71" s="32" t="n">
        <v>140</v>
      </c>
      <c r="F71" s="21" t="n">
        <v>0.618</v>
      </c>
      <c r="G71" s="19" t="inlineStr">
        <is>
          <t>Q2</t>
        </is>
      </c>
    </row>
    <row r="72">
      <c r="A72" s="39" t="inlineStr">
        <is>
          <t>Lagoa de Dentro</t>
        </is>
      </c>
      <c r="B72" s="40" t="n">
        <v>8918</v>
      </c>
      <c r="C72" s="40" t="n">
        <v>21500</v>
      </c>
      <c r="D72" s="40" t="n">
        <v>20200</v>
      </c>
      <c r="E72" s="41" t="n">
        <v>115</v>
      </c>
      <c r="F72" s="42" t="n">
        <v>0.5610000000000001</v>
      </c>
      <c r="G72" s="43" t="inlineStr">
        <is>
          <t>Q1_Próximo</t>
        </is>
      </c>
    </row>
    <row r="73">
      <c r="A73" s="18" t="inlineStr">
        <is>
          <t>Lastro</t>
        </is>
      </c>
      <c r="B73" s="20" t="n">
        <v>4638</v>
      </c>
      <c r="C73" s="20" t="n">
        <v>14500</v>
      </c>
      <c r="D73" s="20" t="n">
        <v>13700</v>
      </c>
      <c r="E73" s="32" t="n">
        <v>430</v>
      </c>
      <c r="F73" s="21" t="n">
        <v>0.536</v>
      </c>
      <c r="G73" s="19" t="inlineStr">
        <is>
          <t>Q4_Distante</t>
        </is>
      </c>
    </row>
    <row r="74">
      <c r="A74" s="39" t="inlineStr">
        <is>
          <t>Livramento</t>
        </is>
      </c>
      <c r="B74" s="40" t="n">
        <v>7378</v>
      </c>
      <c r="C74" s="40" t="n">
        <v>18700</v>
      </c>
      <c r="D74" s="40" t="n">
        <v>17600</v>
      </c>
      <c r="E74" s="41" t="n">
        <v>270</v>
      </c>
      <c r="F74" s="42" t="n">
        <v>0.5600000000000001</v>
      </c>
      <c r="G74" s="43" t="inlineStr">
        <is>
          <t>Q3</t>
        </is>
      </c>
    </row>
    <row r="75">
      <c r="A75" s="18" t="inlineStr">
        <is>
          <t>Logradouro</t>
        </is>
      </c>
      <c r="B75" s="20" t="n">
        <v>5978</v>
      </c>
      <c r="C75" s="20" t="n">
        <v>16400</v>
      </c>
      <c r="D75" s="20" t="n">
        <v>15400</v>
      </c>
      <c r="E75" s="32" t="n">
        <v>145</v>
      </c>
      <c r="F75" s="21" t="n">
        <v>0.5610000000000001</v>
      </c>
      <c r="G75" s="19" t="inlineStr">
        <is>
          <t>Q2</t>
        </is>
      </c>
    </row>
    <row r="76">
      <c r="A76" s="39" t="inlineStr">
        <is>
          <t>Lucena</t>
        </is>
      </c>
      <c r="B76" s="40" t="n">
        <v>14813</v>
      </c>
      <c r="C76" s="40" t="n">
        <v>35800</v>
      </c>
      <c r="D76" s="40" t="n">
        <v>33800</v>
      </c>
      <c r="E76" s="41" t="n">
        <v>38</v>
      </c>
      <c r="F76" s="42" t="n">
        <v>0.614</v>
      </c>
      <c r="G76" s="43" t="inlineStr">
        <is>
          <t>Q1_Próximo</t>
        </is>
      </c>
    </row>
    <row r="77">
      <c r="A77" s="18" t="inlineStr">
        <is>
          <t>Malta</t>
        </is>
      </c>
      <c r="B77" s="20" t="n">
        <v>6313</v>
      </c>
      <c r="C77" s="20" t="n">
        <v>16700</v>
      </c>
      <c r="D77" s="20" t="n">
        <v>15700</v>
      </c>
      <c r="E77" s="32" t="n">
        <v>360</v>
      </c>
      <c r="F77" s="21" t="n">
        <v>0.573</v>
      </c>
      <c r="G77" s="19" t="inlineStr">
        <is>
          <t>Q4_Distante</t>
        </is>
      </c>
    </row>
    <row r="78">
      <c r="A78" s="39" t="inlineStr">
        <is>
          <t>Mamanguape</t>
        </is>
      </c>
      <c r="B78" s="40" t="n">
        <v>45430</v>
      </c>
      <c r="C78" s="40" t="n">
        <v>97500</v>
      </c>
      <c r="D78" s="40" t="n">
        <v>91900</v>
      </c>
      <c r="E78" s="41" t="n">
        <v>62</v>
      </c>
      <c r="F78" s="42" t="n">
        <v>0.634</v>
      </c>
      <c r="G78" s="43" t="inlineStr">
        <is>
          <t>Q1_Próximo</t>
        </is>
      </c>
    </row>
    <row r="79">
      <c r="A79" s="18" t="inlineStr">
        <is>
          <t>Marcação</t>
        </is>
      </c>
      <c r="B79" s="20" t="n">
        <v>8693</v>
      </c>
      <c r="C79" s="20" t="n">
        <v>22500</v>
      </c>
      <c r="D79" s="20" t="n">
        <v>21200</v>
      </c>
      <c r="E79" s="32" t="n">
        <v>88</v>
      </c>
      <c r="F79" s="21" t="n">
        <v>0.5600000000000001</v>
      </c>
      <c r="G79" s="19" t="inlineStr">
        <is>
          <t>Q1_Próximo</t>
        </is>
      </c>
    </row>
    <row r="80">
      <c r="A80" s="39" t="inlineStr">
        <is>
          <t>Marizópolis</t>
        </is>
      </c>
      <c r="B80" s="40" t="n">
        <v>6958</v>
      </c>
      <c r="C80" s="40" t="n">
        <v>18000</v>
      </c>
      <c r="D80" s="40" t="n">
        <v>16900</v>
      </c>
      <c r="E80" s="41" t="n">
        <v>470</v>
      </c>
      <c r="F80" s="42" t="n">
        <v>0.5610000000000001</v>
      </c>
      <c r="G80" s="43" t="inlineStr">
        <is>
          <t>Q4_Distante</t>
        </is>
      </c>
    </row>
    <row r="81">
      <c r="A81" s="18" t="inlineStr">
        <is>
          <t>Matinhas</t>
        </is>
      </c>
      <c r="B81" s="20" t="n">
        <v>4428</v>
      </c>
      <c r="C81" s="20" t="n">
        <v>14100</v>
      </c>
      <c r="D81" s="20" t="n">
        <v>13300</v>
      </c>
      <c r="E81" s="32" t="n">
        <v>145</v>
      </c>
      <c r="F81" s="21" t="n">
        <v>0.553</v>
      </c>
      <c r="G81" s="19" t="inlineStr">
        <is>
          <t>Q2</t>
        </is>
      </c>
    </row>
    <row r="82">
      <c r="A82" s="39" t="inlineStr">
        <is>
          <t>Mato Grosso</t>
        </is>
      </c>
      <c r="B82" s="40" t="n">
        <v>4013</v>
      </c>
      <c r="C82" s="40" t="n">
        <v>13400</v>
      </c>
      <c r="D82" s="40" t="n">
        <v>12600</v>
      </c>
      <c r="E82" s="41" t="n">
        <v>380</v>
      </c>
      <c r="F82" s="42" t="n">
        <v>0.538</v>
      </c>
      <c r="G82" s="43" t="inlineStr">
        <is>
          <t>Q4_Distante</t>
        </is>
      </c>
    </row>
    <row r="83">
      <c r="A83" s="18" t="inlineStr">
        <is>
          <t>Maturéia</t>
        </is>
      </c>
      <c r="B83" s="20" t="n">
        <v>4803</v>
      </c>
      <c r="C83" s="20" t="n">
        <v>14600</v>
      </c>
      <c r="D83" s="20" t="n">
        <v>13800</v>
      </c>
      <c r="E83" s="32" t="n">
        <v>360</v>
      </c>
      <c r="F83" s="21" t="n">
        <v>0.5649999999999999</v>
      </c>
      <c r="G83" s="19" t="inlineStr">
        <is>
          <t>Q4_Distante</t>
        </is>
      </c>
    </row>
    <row r="84">
      <c r="A84" s="39" t="inlineStr">
        <is>
          <t>Montadas</t>
        </is>
      </c>
      <c r="B84" s="40" t="n">
        <v>7028</v>
      </c>
      <c r="C84" s="40" t="n">
        <v>18100</v>
      </c>
      <c r="D84" s="40" t="n">
        <v>17000</v>
      </c>
      <c r="E84" s="41" t="n">
        <v>150</v>
      </c>
      <c r="F84" s="42" t="n">
        <v>0.582</v>
      </c>
      <c r="G84" s="43" t="inlineStr">
        <is>
          <t>Q2</t>
        </is>
      </c>
    </row>
    <row r="85">
      <c r="A85" s="18" t="inlineStr">
        <is>
          <t>Monteiro</t>
        </is>
      </c>
      <c r="B85" s="20" t="n">
        <v>34490</v>
      </c>
      <c r="C85" s="20" t="n">
        <v>73200</v>
      </c>
      <c r="D85" s="20" t="n">
        <v>69000</v>
      </c>
      <c r="E85" s="32" t="n">
        <v>270</v>
      </c>
      <c r="F85" s="21" t="n">
        <v>0.641</v>
      </c>
      <c r="G85" s="19" t="inlineStr">
        <is>
          <t>Q3</t>
        </is>
      </c>
    </row>
    <row r="86">
      <c r="A86" s="39" t="inlineStr">
        <is>
          <t>Mulungu</t>
        </is>
      </c>
      <c r="B86" s="40" t="n">
        <v>10853</v>
      </c>
      <c r="C86" s="40" t="n">
        <v>23800</v>
      </c>
      <c r="D86" s="40" t="n">
        <v>22400</v>
      </c>
      <c r="E86" s="41" t="n">
        <v>130</v>
      </c>
      <c r="F86" s="42" t="n">
        <v>0.591</v>
      </c>
      <c r="G86" s="43" t="inlineStr">
        <is>
          <t>Q1_Próximo</t>
        </is>
      </c>
    </row>
    <row r="87">
      <c r="A87" s="18" t="inlineStr">
        <is>
          <t>Nazarezinho</t>
        </is>
      </c>
      <c r="B87" s="20" t="n">
        <v>7978</v>
      </c>
      <c r="C87" s="20" t="n">
        <v>19700</v>
      </c>
      <c r="D87" s="20" t="n">
        <v>18500</v>
      </c>
      <c r="E87" s="32" t="n">
        <v>460</v>
      </c>
      <c r="F87" s="21" t="n">
        <v>0.547</v>
      </c>
      <c r="G87" s="19" t="inlineStr">
        <is>
          <t>Q4_Distante</t>
        </is>
      </c>
    </row>
    <row r="88">
      <c r="A88" s="39" t="inlineStr">
        <is>
          <t>Nova Floresta</t>
        </is>
      </c>
      <c r="B88" s="40" t="n">
        <v>10513</v>
      </c>
      <c r="C88" s="40" t="n">
        <v>23200</v>
      </c>
      <c r="D88" s="40" t="n">
        <v>21900</v>
      </c>
      <c r="E88" s="41" t="n">
        <v>210</v>
      </c>
      <c r="F88" s="42" t="n">
        <v>0.586</v>
      </c>
      <c r="G88" s="43" t="inlineStr">
        <is>
          <t>Q2</t>
        </is>
      </c>
    </row>
    <row r="89">
      <c r="A89" s="18" t="inlineStr">
        <is>
          <t>Nova Palmeira</t>
        </is>
      </c>
      <c r="B89" s="20" t="n">
        <v>5628</v>
      </c>
      <c r="C89" s="20" t="n">
        <v>15800</v>
      </c>
      <c r="D89" s="20" t="n">
        <v>14900</v>
      </c>
      <c r="E89" s="32" t="n">
        <v>225</v>
      </c>
      <c r="F89" s="21" t="n">
        <v>0.546</v>
      </c>
      <c r="G89" s="19" t="inlineStr">
        <is>
          <t>Q2</t>
        </is>
      </c>
    </row>
    <row r="90">
      <c r="A90" s="39" t="inlineStr">
        <is>
          <t>Passagem</t>
        </is>
      </c>
      <c r="B90" s="40" t="n">
        <v>3458</v>
      </c>
      <c r="C90" s="40" t="n">
        <v>12900</v>
      </c>
      <c r="D90" s="40" t="n">
        <v>12100</v>
      </c>
      <c r="E90" s="41" t="n">
        <v>265</v>
      </c>
      <c r="F90" s="42" t="n">
        <v>0.51</v>
      </c>
      <c r="G90" s="43" t="inlineStr">
        <is>
          <t>Q3</t>
        </is>
      </c>
    </row>
    <row r="91">
      <c r="A91" s="18" t="inlineStr">
        <is>
          <t>Patos</t>
        </is>
      </c>
      <c r="B91" s="20" t="n">
        <v>107047</v>
      </c>
      <c r="C91" s="20" t="n">
        <v>234500</v>
      </c>
      <c r="D91" s="20" t="n">
        <v>221000</v>
      </c>
      <c r="E91" s="32" t="n">
        <v>305</v>
      </c>
      <c r="F91" s="21" t="n">
        <v>0.701</v>
      </c>
      <c r="G91" s="19" t="inlineStr">
        <is>
          <t>Q3</t>
        </is>
      </c>
    </row>
    <row r="92">
      <c r="A92" s="39" t="inlineStr">
        <is>
          <t>Paulista</t>
        </is>
      </c>
      <c r="B92" s="40" t="n">
        <v>11213</v>
      </c>
      <c r="C92" s="40" t="n">
        <v>24500</v>
      </c>
      <c r="D92" s="40" t="n">
        <v>23100</v>
      </c>
      <c r="E92" s="41" t="n">
        <v>355</v>
      </c>
      <c r="F92" s="42" t="n">
        <v>0.571</v>
      </c>
      <c r="G92" s="43" t="inlineStr">
        <is>
          <t>Q4_Distante</t>
        </is>
      </c>
    </row>
    <row r="93">
      <c r="A93" s="18" t="inlineStr">
        <is>
          <t>Pedra Branca</t>
        </is>
      </c>
      <c r="B93" s="20" t="n">
        <v>4678</v>
      </c>
      <c r="C93" s="20" t="n">
        <v>14600</v>
      </c>
      <c r="D93" s="20" t="n">
        <v>13800</v>
      </c>
      <c r="E93" s="32" t="n">
        <v>290</v>
      </c>
      <c r="F93" s="21" t="n">
        <v>0.5580000000000001</v>
      </c>
      <c r="G93" s="19" t="inlineStr">
        <is>
          <t>Q3</t>
        </is>
      </c>
    </row>
    <row r="94">
      <c r="A94" s="39" t="inlineStr">
        <is>
          <t>Pedra Lavrada</t>
        </is>
      </c>
      <c r="B94" s="40" t="n">
        <v>11023</v>
      </c>
      <c r="C94" s="40" t="n">
        <v>24400</v>
      </c>
      <c r="D94" s="40" t="n">
        <v>23000</v>
      </c>
      <c r="E94" s="41" t="n">
        <v>230</v>
      </c>
      <c r="F94" s="42" t="n">
        <v>0.585</v>
      </c>
      <c r="G94" s="43" t="inlineStr">
        <is>
          <t>Q2</t>
        </is>
      </c>
    </row>
    <row r="95">
      <c r="A95" s="18" t="inlineStr">
        <is>
          <t>Pedras de Fogo</t>
        </is>
      </c>
      <c r="B95" s="20" t="n">
        <v>27583</v>
      </c>
      <c r="C95" s="20" t="n">
        <v>58200</v>
      </c>
      <c r="D95" s="20" t="n">
        <v>54900</v>
      </c>
      <c r="E95" s="32" t="n">
        <v>62</v>
      </c>
      <c r="F95" s="21" t="n">
        <v>0.588</v>
      </c>
      <c r="G95" s="19" t="inlineStr">
        <is>
          <t>Q1_Próximo</t>
        </is>
      </c>
    </row>
    <row r="96">
      <c r="A96" s="39" t="inlineStr">
        <is>
          <t>Pedro Régis</t>
        </is>
      </c>
      <c r="B96" s="40" t="n">
        <v>7483</v>
      </c>
      <c r="C96" s="40" t="n">
        <v>18700</v>
      </c>
      <c r="D96" s="40" t="n">
        <v>17600</v>
      </c>
      <c r="E96" s="41" t="n">
        <v>110</v>
      </c>
      <c r="F96" s="42" t="n">
        <v>0.544</v>
      </c>
      <c r="G96" s="43" t="inlineStr">
        <is>
          <t>Q1_Próximo</t>
        </is>
      </c>
    </row>
    <row r="97">
      <c r="A97" s="18" t="inlineStr">
        <is>
          <t>Piancó</t>
        </is>
      </c>
      <c r="B97" s="20" t="n">
        <v>17413</v>
      </c>
      <c r="C97" s="20" t="n">
        <v>37100</v>
      </c>
      <c r="D97" s="20" t="n">
        <v>35000</v>
      </c>
      <c r="E97" s="32" t="n">
        <v>360</v>
      </c>
      <c r="F97" s="21" t="n">
        <v>0.592</v>
      </c>
      <c r="G97" s="19" t="inlineStr">
        <is>
          <t>Q4_Distante</t>
        </is>
      </c>
    </row>
    <row r="98">
      <c r="A98" s="39" t="inlineStr">
        <is>
          <t>Pombal</t>
        </is>
      </c>
      <c r="B98" s="40" t="n">
        <v>32783</v>
      </c>
      <c r="C98" s="40" t="n">
        <v>68500</v>
      </c>
      <c r="D98" s="40" t="n">
        <v>64600</v>
      </c>
      <c r="E98" s="41" t="n">
        <v>365</v>
      </c>
      <c r="F98" s="42" t="n">
        <v>0.651</v>
      </c>
      <c r="G98" s="43" t="inlineStr">
        <is>
          <t>Q4_Distante</t>
        </is>
      </c>
    </row>
    <row r="99">
      <c r="A99" s="18" t="inlineStr">
        <is>
          <t>Princesa Isabel</t>
        </is>
      </c>
      <c r="B99" s="20" t="n">
        <v>21233</v>
      </c>
      <c r="C99" s="20" t="n">
        <v>45300</v>
      </c>
      <c r="D99" s="20" t="n">
        <v>42700</v>
      </c>
      <c r="E99" s="32" t="n">
        <v>385</v>
      </c>
      <c r="F99" s="21" t="n">
        <v>0.617</v>
      </c>
      <c r="G99" s="19" t="inlineStr">
        <is>
          <t>Q4_Distante</t>
        </is>
      </c>
    </row>
    <row r="100">
      <c r="A100" s="39" t="inlineStr">
        <is>
          <t>Puxinanã</t>
        </is>
      </c>
      <c r="B100" s="40" t="n">
        <v>13258</v>
      </c>
      <c r="C100" s="40" t="n">
        <v>28800</v>
      </c>
      <c r="D100" s="40" t="n">
        <v>27200</v>
      </c>
      <c r="E100" s="41" t="n">
        <v>140</v>
      </c>
      <c r="F100" s="42" t="n">
        <v>0.601</v>
      </c>
      <c r="G100" s="43" t="inlineStr">
        <is>
          <t>Q2</t>
        </is>
      </c>
    </row>
    <row r="101">
      <c r="A101" s="18" t="inlineStr">
        <is>
          <t>Queimadas</t>
        </is>
      </c>
      <c r="B101" s="20" t="n">
        <v>43613</v>
      </c>
      <c r="C101" s="20" t="n">
        <v>92200</v>
      </c>
      <c r="D101" s="20" t="n">
        <v>86900</v>
      </c>
      <c r="E101" s="32" t="n">
        <v>145</v>
      </c>
      <c r="F101" s="21" t="n">
        <v>0.591</v>
      </c>
      <c r="G101" s="19" t="inlineStr">
        <is>
          <t>Q2</t>
        </is>
      </c>
    </row>
    <row r="102">
      <c r="A102" s="39" t="inlineStr">
        <is>
          <t>Quixabá</t>
        </is>
      </c>
      <c r="B102" s="40" t="n">
        <v>4568</v>
      </c>
      <c r="C102" s="40" t="n">
        <v>14400</v>
      </c>
      <c r="D102" s="40" t="n">
        <v>13600</v>
      </c>
      <c r="E102" s="41" t="n">
        <v>340</v>
      </c>
      <c r="F102" s="42" t="n">
        <v>0.512</v>
      </c>
      <c r="G102" s="43" t="inlineStr">
        <is>
          <t>Q3</t>
        </is>
      </c>
    </row>
    <row r="103">
      <c r="A103" s="18" t="inlineStr">
        <is>
          <t>Riacho de Santo Antônio</t>
        </is>
      </c>
      <c r="B103" s="20" t="n">
        <v>3173</v>
      </c>
      <c r="C103" s="20" t="n">
        <v>12800</v>
      </c>
      <c r="D103" s="20" t="n">
        <v>12000</v>
      </c>
      <c r="E103" s="32" t="n">
        <v>205</v>
      </c>
      <c r="F103" s="21" t="n">
        <v>0.519</v>
      </c>
      <c r="G103" s="19" t="inlineStr">
        <is>
          <t>Q2</t>
        </is>
      </c>
    </row>
    <row r="104">
      <c r="A104" s="39" t="inlineStr">
        <is>
          <t>Riachão</t>
        </is>
      </c>
      <c r="B104" s="40" t="n">
        <v>4468</v>
      </c>
      <c r="C104" s="40" t="n">
        <v>14200</v>
      </c>
      <c r="D104" s="40" t="n">
        <v>13400</v>
      </c>
      <c r="E104" s="41" t="n">
        <v>360</v>
      </c>
      <c r="F104" s="42" t="n">
        <v>0.53</v>
      </c>
      <c r="G104" s="43" t="inlineStr">
        <is>
          <t>Q4_Distante</t>
        </is>
      </c>
    </row>
    <row r="105">
      <c r="A105" s="18" t="inlineStr">
        <is>
          <t>Riachão do Bacamarte</t>
        </is>
      </c>
      <c r="B105" s="20" t="n">
        <v>6858</v>
      </c>
      <c r="C105" s="20" t="n">
        <v>17700</v>
      </c>
      <c r="D105" s="20" t="n">
        <v>16600</v>
      </c>
      <c r="E105" s="32" t="n">
        <v>115</v>
      </c>
      <c r="F105" s="21" t="n">
        <v>0.57</v>
      </c>
      <c r="G105" s="19" t="inlineStr">
        <is>
          <t>Q1_Próximo</t>
        </is>
      </c>
    </row>
    <row r="106">
      <c r="A106" s="39" t="inlineStr">
        <is>
          <t>Riachão do Poço</t>
        </is>
      </c>
      <c r="B106" s="40" t="n">
        <v>6273</v>
      </c>
      <c r="C106" s="40" t="n">
        <v>16700</v>
      </c>
      <c r="D106" s="40" t="n">
        <v>15700</v>
      </c>
      <c r="E106" s="41" t="n">
        <v>75</v>
      </c>
      <c r="F106" s="42" t="n">
        <v>0.5620000000000001</v>
      </c>
      <c r="G106" s="43" t="inlineStr">
        <is>
          <t>Q1_Próximo</t>
        </is>
      </c>
    </row>
    <row r="107">
      <c r="A107" s="18" t="inlineStr">
        <is>
          <t>Rio Tinto</t>
        </is>
      </c>
      <c r="B107" s="20" t="n">
        <v>24738</v>
      </c>
      <c r="C107" s="20" t="n">
        <v>55800</v>
      </c>
      <c r="D107" s="20" t="n">
        <v>52600</v>
      </c>
      <c r="E107" s="32" t="n">
        <v>72</v>
      </c>
      <c r="F107" s="21" t="n">
        <v>0.597</v>
      </c>
      <c r="G107" s="19" t="inlineStr">
        <is>
          <t>Q1_Próximo</t>
        </is>
      </c>
    </row>
    <row r="108">
      <c r="A108" s="39" t="inlineStr">
        <is>
          <t>Salgado de São Félix</t>
        </is>
      </c>
      <c r="B108" s="40" t="n">
        <v>12583</v>
      </c>
      <c r="C108" s="40" t="n">
        <v>27200</v>
      </c>
      <c r="D108" s="40" t="n">
        <v>25700</v>
      </c>
      <c r="E108" s="41" t="n">
        <v>115</v>
      </c>
      <c r="F108" s="42" t="n">
        <v>0.575</v>
      </c>
      <c r="G108" s="43" t="inlineStr">
        <is>
          <t>Q1_Próximo</t>
        </is>
      </c>
    </row>
    <row r="109">
      <c r="A109" s="18" t="inlineStr">
        <is>
          <t>Santa Rita</t>
        </is>
      </c>
      <c r="B109" s="20" t="n">
        <v>139744</v>
      </c>
      <c r="C109" s="20" t="n">
        <v>296400</v>
      </c>
      <c r="D109" s="20" t="n">
        <v>279500</v>
      </c>
      <c r="E109" s="32" t="n">
        <v>15</v>
      </c>
      <c r="F109" s="21" t="n">
        <v>0.647</v>
      </c>
      <c r="G109" s="19" t="inlineStr">
        <is>
          <t>Q1_Próximo</t>
        </is>
      </c>
    </row>
    <row r="110">
      <c r="A110" s="39" t="inlineStr">
        <is>
          <t>Santana de Mangueira</t>
        </is>
      </c>
      <c r="B110" s="40" t="n">
        <v>7038</v>
      </c>
      <c r="C110" s="40" t="n">
        <v>18100</v>
      </c>
      <c r="D110" s="40" t="n">
        <v>17000</v>
      </c>
      <c r="E110" s="41" t="n">
        <v>390</v>
      </c>
      <c r="F110" s="42" t="n">
        <v>0.553</v>
      </c>
      <c r="G110" s="43" t="inlineStr">
        <is>
          <t>Q4_Distante</t>
        </is>
      </c>
    </row>
    <row r="111">
      <c r="A111" s="18" t="inlineStr">
        <is>
          <t>Santana dos Garrotes</t>
        </is>
      </c>
      <c r="B111" s="20" t="n">
        <v>9703</v>
      </c>
      <c r="C111" s="20" t="n">
        <v>22100</v>
      </c>
      <c r="D111" s="20" t="n">
        <v>20900</v>
      </c>
      <c r="E111" s="32" t="n">
        <v>355</v>
      </c>
      <c r="F111" s="21" t="n">
        <v>0.5659999999999999</v>
      </c>
      <c r="G111" s="19" t="inlineStr">
        <is>
          <t>Q4_Distante</t>
        </is>
      </c>
    </row>
    <row r="112">
      <c r="A112" s="39" t="inlineStr">
        <is>
          <t>Sapé</t>
        </is>
      </c>
      <c r="B112" s="40" t="n">
        <v>54200</v>
      </c>
      <c r="C112" s="40" t="n">
        <v>116800</v>
      </c>
      <c r="D112" s="40" t="n">
        <v>110100</v>
      </c>
      <c r="E112" s="41" t="n">
        <v>58</v>
      </c>
      <c r="F112" s="42" t="n">
        <v>0.608</v>
      </c>
      <c r="G112" s="43" t="inlineStr">
        <is>
          <t>Q1_Próximo</t>
        </is>
      </c>
    </row>
    <row r="113">
      <c r="A113" s="18" t="inlineStr">
        <is>
          <t>Serra Branca</t>
        </is>
      </c>
      <c r="B113" s="20" t="n">
        <v>13883</v>
      </c>
      <c r="C113" s="20" t="n">
        <v>30100</v>
      </c>
      <c r="D113" s="20" t="n">
        <v>28400</v>
      </c>
      <c r="E113" s="32" t="n">
        <v>240</v>
      </c>
      <c r="F113" s="21" t="n">
        <v>0.577</v>
      </c>
      <c r="G113" s="19" t="inlineStr">
        <is>
          <t>Q3</t>
        </is>
      </c>
    </row>
    <row r="114">
      <c r="A114" s="39" t="inlineStr">
        <is>
          <t>Serra da Raiz</t>
        </is>
      </c>
      <c r="B114" s="40" t="n">
        <v>4168</v>
      </c>
      <c r="C114" s="40" t="n">
        <v>13600</v>
      </c>
      <c r="D114" s="40" t="n">
        <v>12800</v>
      </c>
      <c r="E114" s="41" t="n">
        <v>110</v>
      </c>
      <c r="F114" s="42" t="n">
        <v>0.571</v>
      </c>
      <c r="G114" s="43" t="inlineStr">
        <is>
          <t>Q1_Próximo</t>
        </is>
      </c>
    </row>
    <row r="115">
      <c r="A115" s="18" t="inlineStr">
        <is>
          <t>Soledade</t>
        </is>
      </c>
      <c r="B115" s="20" t="n">
        <v>14053</v>
      </c>
      <c r="C115" s="20" t="n">
        <v>30500</v>
      </c>
      <c r="D115" s="20" t="n">
        <v>28800</v>
      </c>
      <c r="E115" s="32" t="n">
        <v>225</v>
      </c>
      <c r="F115" s="21" t="n">
        <v>0.583</v>
      </c>
      <c r="G115" s="19" t="inlineStr">
        <is>
          <t>Q2</t>
        </is>
      </c>
    </row>
    <row r="116">
      <c r="A116" s="39" t="inlineStr">
        <is>
          <t>Solânea</t>
        </is>
      </c>
      <c r="B116" s="40" t="n">
        <v>27743</v>
      </c>
      <c r="C116" s="40" t="n">
        <v>58500</v>
      </c>
      <c r="D116" s="40" t="n">
        <v>55200</v>
      </c>
      <c r="E116" s="41" t="n">
        <v>160</v>
      </c>
      <c r="F116" s="42" t="n">
        <v>0.597</v>
      </c>
      <c r="G116" s="43" t="inlineStr">
        <is>
          <t>Q2</t>
        </is>
      </c>
    </row>
    <row r="117">
      <c r="A117" s="18" t="inlineStr">
        <is>
          <t>Sousa</t>
        </is>
      </c>
      <c r="B117" s="20" t="n">
        <v>69786</v>
      </c>
      <c r="C117" s="20" t="n">
        <v>152100</v>
      </c>
      <c r="D117" s="20" t="n">
        <v>143400</v>
      </c>
      <c r="E117" s="32" t="n">
        <v>390</v>
      </c>
      <c r="F117" s="21" t="n">
        <v>0.679</v>
      </c>
      <c r="G117" s="19" t="inlineStr">
        <is>
          <t>Q4_Distante</t>
        </is>
      </c>
    </row>
    <row r="118">
      <c r="A118" s="39" t="inlineStr">
        <is>
          <t>São Bentinho</t>
        </is>
      </c>
      <c r="B118" s="40" t="n">
        <v>5778</v>
      </c>
      <c r="C118" s="40" t="n">
        <v>16100</v>
      </c>
      <c r="D118" s="40" t="n">
        <v>15100</v>
      </c>
      <c r="E118" s="41" t="n">
        <v>390</v>
      </c>
      <c r="F118" s="42" t="n">
        <v>0.5620000000000001</v>
      </c>
      <c r="G118" s="43" t="inlineStr">
        <is>
          <t>Q4_Distante</t>
        </is>
      </c>
    </row>
    <row r="119">
      <c r="A119" s="18" t="inlineStr">
        <is>
          <t>São Bento</t>
        </is>
      </c>
      <c r="B119" s="20" t="n">
        <v>33840</v>
      </c>
      <c r="C119" s="20" t="n">
        <v>70800</v>
      </c>
      <c r="D119" s="20" t="n">
        <v>66800</v>
      </c>
      <c r="E119" s="32" t="n">
        <v>345</v>
      </c>
      <c r="F119" s="21" t="n">
        <v>0.638</v>
      </c>
      <c r="G119" s="19" t="inlineStr">
        <is>
          <t>Q3</t>
        </is>
      </c>
    </row>
    <row r="120">
      <c r="A120" s="39" t="inlineStr">
        <is>
          <t>São Domingos</t>
        </is>
      </c>
      <c r="B120" s="40" t="n">
        <v>5498</v>
      </c>
      <c r="C120" s="40" t="n">
        <v>15600</v>
      </c>
      <c r="D120" s="40" t="n">
        <v>14700</v>
      </c>
      <c r="E120" s="41" t="n">
        <v>225</v>
      </c>
      <c r="F120" s="42" t="n">
        <v>0.5629999999999999</v>
      </c>
      <c r="G120" s="43" t="inlineStr">
        <is>
          <t>Q2</t>
        </is>
      </c>
    </row>
    <row r="121">
      <c r="A121" s="18" t="inlineStr">
        <is>
          <t>São Domingos do Cariri</t>
        </is>
      </c>
      <c r="B121" s="20" t="n">
        <v>3478</v>
      </c>
      <c r="C121" s="20" t="n">
        <v>13000</v>
      </c>
      <c r="D121" s="20" t="n">
        <v>12200</v>
      </c>
      <c r="E121" s="32" t="n">
        <v>255</v>
      </c>
      <c r="F121" s="21" t="n">
        <v>0.528</v>
      </c>
      <c r="G121" s="19" t="inlineStr">
        <is>
          <t>Q3</t>
        </is>
      </c>
    </row>
    <row r="122">
      <c r="A122" s="39" t="inlineStr">
        <is>
          <t>São José de Caiana</t>
        </is>
      </c>
      <c r="B122" s="40" t="n">
        <v>6678</v>
      </c>
      <c r="C122" s="40" t="n">
        <v>17400</v>
      </c>
      <c r="D122" s="40" t="n">
        <v>16300</v>
      </c>
      <c r="E122" s="41" t="n">
        <v>415</v>
      </c>
      <c r="F122" s="42" t="n">
        <v>0.554</v>
      </c>
      <c r="G122" s="43" t="inlineStr">
        <is>
          <t>Q4_Distante</t>
        </is>
      </c>
    </row>
    <row r="123">
      <c r="A123" s="18" t="inlineStr">
        <is>
          <t>São José de Espinharas</t>
        </is>
      </c>
      <c r="B123" s="20" t="n">
        <v>5913</v>
      </c>
      <c r="C123" s="20" t="n">
        <v>16300</v>
      </c>
      <c r="D123" s="20" t="n">
        <v>15300</v>
      </c>
      <c r="E123" s="32" t="n">
        <v>355</v>
      </c>
      <c r="F123" s="21" t="n">
        <v>0.554</v>
      </c>
      <c r="G123" s="19" t="inlineStr">
        <is>
          <t>Q4_Distante</t>
        </is>
      </c>
    </row>
    <row r="124">
      <c r="A124" s="39" t="inlineStr">
        <is>
          <t>São José do Bonfim</t>
        </is>
      </c>
      <c r="B124" s="40" t="n">
        <v>4878</v>
      </c>
      <c r="C124" s="40" t="n">
        <v>14800</v>
      </c>
      <c r="D124" s="40" t="n">
        <v>13900</v>
      </c>
      <c r="E124" s="41" t="n">
        <v>345</v>
      </c>
      <c r="F124" s="42" t="n">
        <v>0.551</v>
      </c>
      <c r="G124" s="43" t="inlineStr">
        <is>
          <t>Q3</t>
        </is>
      </c>
    </row>
    <row r="125">
      <c r="A125" s="18" t="inlineStr">
        <is>
          <t>São José do Brejo do Cruz</t>
        </is>
      </c>
      <c r="B125" s="20" t="n">
        <v>3548</v>
      </c>
      <c r="C125" s="20" t="n">
        <v>12900</v>
      </c>
      <c r="D125" s="20" t="n">
        <v>12200</v>
      </c>
      <c r="E125" s="32" t="n">
        <v>390</v>
      </c>
      <c r="F125" s="21" t="n">
        <v>0.518</v>
      </c>
      <c r="G125" s="19" t="inlineStr">
        <is>
          <t>Q4_Distante</t>
        </is>
      </c>
    </row>
    <row r="126">
      <c r="A126" s="39" t="inlineStr">
        <is>
          <t>São José dos Ramos</t>
        </is>
      </c>
      <c r="B126" s="40" t="n">
        <v>6723</v>
      </c>
      <c r="C126" s="40" t="n">
        <v>17400</v>
      </c>
      <c r="D126" s="40" t="n">
        <v>16400</v>
      </c>
      <c r="E126" s="41" t="n">
        <v>90</v>
      </c>
      <c r="F126" s="42" t="n">
        <v>0.569</v>
      </c>
      <c r="G126" s="43" t="inlineStr">
        <is>
          <t>Q1_Próximo</t>
        </is>
      </c>
    </row>
    <row r="127">
      <c r="A127" s="18" t="inlineStr">
        <is>
          <t>São João do Cariri</t>
        </is>
      </c>
      <c r="B127" s="20" t="n">
        <v>5043</v>
      </c>
      <c r="C127" s="20" t="n">
        <v>15100</v>
      </c>
      <c r="D127" s="20" t="n">
        <v>14200</v>
      </c>
      <c r="E127" s="32" t="n">
        <v>230</v>
      </c>
      <c r="F127" s="21" t="n">
        <v>0.54</v>
      </c>
      <c r="G127" s="19" t="inlineStr">
        <is>
          <t>Q2</t>
        </is>
      </c>
    </row>
    <row r="128">
      <c r="A128" s="39" t="inlineStr">
        <is>
          <t>São João do Rio do Peixe</t>
        </is>
      </c>
      <c r="B128" s="40" t="n">
        <v>19483</v>
      </c>
      <c r="C128" s="40" t="n">
        <v>41300</v>
      </c>
      <c r="D128" s="40" t="n">
        <v>38900</v>
      </c>
      <c r="E128" s="41" t="n">
        <v>490</v>
      </c>
      <c r="F128" s="42" t="n">
        <v>0.587</v>
      </c>
      <c r="G128" s="43" t="inlineStr">
        <is>
          <t>Q4_Distante</t>
        </is>
      </c>
    </row>
    <row r="129">
      <c r="A129" s="18" t="inlineStr">
        <is>
          <t>São João do Tigre</t>
        </is>
      </c>
      <c r="B129" s="20" t="n">
        <v>6658</v>
      </c>
      <c r="C129" s="20" t="n">
        <v>17200</v>
      </c>
      <c r="D129" s="20" t="n">
        <v>16200</v>
      </c>
      <c r="E129" s="32" t="n">
        <v>295</v>
      </c>
      <c r="F129" s="21" t="n">
        <v>0.529</v>
      </c>
      <c r="G129" s="19" t="inlineStr">
        <is>
          <t>Q3</t>
        </is>
      </c>
    </row>
    <row r="130">
      <c r="A130" s="39" t="inlineStr">
        <is>
          <t>São Mamede</t>
        </is>
      </c>
      <c r="B130" s="40" t="n">
        <v>9793</v>
      </c>
      <c r="C130" s="40" t="n">
        <v>22300</v>
      </c>
      <c r="D130" s="40" t="n">
        <v>20900</v>
      </c>
      <c r="E130" s="41" t="n">
        <v>320</v>
      </c>
      <c r="F130" s="42" t="n">
        <v>0.5669999999999999</v>
      </c>
      <c r="G130" s="43" t="inlineStr">
        <is>
          <t>Q3</t>
        </is>
      </c>
    </row>
    <row r="131">
      <c r="A131" s="18" t="inlineStr">
        <is>
          <t>São Sebastião de Lagoa de Roça</t>
        </is>
      </c>
      <c r="B131" s="20" t="n">
        <v>10553</v>
      </c>
      <c r="C131" s="20" t="n">
        <v>23300</v>
      </c>
      <c r="D131" s="20" t="n">
        <v>21900</v>
      </c>
      <c r="E131" s="32" t="n">
        <v>155</v>
      </c>
      <c r="F131" s="21" t="n">
        <v>0.602</v>
      </c>
      <c r="G131" s="19" t="inlineStr">
        <is>
          <t>Q2</t>
        </is>
      </c>
    </row>
    <row r="132">
      <c r="A132" s="39" t="inlineStr">
        <is>
          <t>São Sebastião do Umbuzeiro</t>
        </is>
      </c>
      <c r="B132" s="40" t="n">
        <v>5098</v>
      </c>
      <c r="C132" s="40" t="n">
        <v>15200</v>
      </c>
      <c r="D132" s="40" t="n">
        <v>14300</v>
      </c>
      <c r="E132" s="41" t="n">
        <v>305</v>
      </c>
      <c r="F132" s="42" t="n">
        <v>0.521</v>
      </c>
      <c r="G132" s="43" t="inlineStr">
        <is>
          <t>Q3</t>
        </is>
      </c>
    </row>
    <row r="133">
      <c r="A133" s="18" t="inlineStr">
        <is>
          <t>Tacima</t>
        </is>
      </c>
      <c r="B133" s="20" t="n">
        <v>11658</v>
      </c>
      <c r="C133" s="20" t="n">
        <v>25400</v>
      </c>
      <c r="D133" s="20" t="n">
        <v>23900</v>
      </c>
      <c r="E133" s="32" t="n">
        <v>160</v>
      </c>
      <c r="F133" s="21" t="n">
        <v>0.575</v>
      </c>
      <c r="G133" s="19" t="inlineStr">
        <is>
          <t>Q2</t>
        </is>
      </c>
    </row>
    <row r="134">
      <c r="A134" s="39" t="inlineStr">
        <is>
          <t>Uiraúna</t>
        </is>
      </c>
      <c r="B134" s="40" t="n">
        <v>14798</v>
      </c>
      <c r="C134" s="40" t="n">
        <v>32200</v>
      </c>
      <c r="D134" s="40" t="n">
        <v>30300</v>
      </c>
      <c r="E134" s="41" t="n">
        <v>445</v>
      </c>
      <c r="F134" s="42" t="n">
        <v>0.589</v>
      </c>
      <c r="G134" s="43" t="inlineStr">
        <is>
          <t>Q4_Distante</t>
        </is>
      </c>
    </row>
    <row r="135">
      <c r="A135" s="18" t="inlineStr">
        <is>
          <t>Umbuzeiro</t>
        </is>
      </c>
      <c r="B135" s="20" t="n">
        <v>9268</v>
      </c>
      <c r="C135" s="20" t="n">
        <v>21700</v>
      </c>
      <c r="D135" s="20" t="n">
        <v>20400</v>
      </c>
      <c r="E135" s="32" t="n">
        <v>155</v>
      </c>
      <c r="F135" s="21" t="n">
        <v>0.572</v>
      </c>
      <c r="G135" s="19" t="inlineStr">
        <is>
          <t>Q2</t>
        </is>
      </c>
    </row>
    <row r="136">
      <c r="A136" s="39" t="inlineStr">
        <is>
          <t>Vista Serrana</t>
        </is>
      </c>
      <c r="B136" s="40" t="n">
        <v>5448</v>
      </c>
      <c r="C136" s="40" t="n">
        <v>15600</v>
      </c>
      <c r="D136" s="40" t="n">
        <v>14600</v>
      </c>
      <c r="E136" s="41" t="n">
        <v>400</v>
      </c>
      <c r="F136" s="42" t="n">
        <v>0.5600000000000001</v>
      </c>
      <c r="G136" s="43" t="inlineStr">
        <is>
          <t>Q4_Distante</t>
        </is>
      </c>
    </row>
    <row r="137">
      <c r="A137" s="18" t="inlineStr">
        <is>
          <t>Zabelê</t>
        </is>
      </c>
      <c r="B137" s="20" t="n">
        <v>3878</v>
      </c>
      <c r="C137" s="20" t="n">
        <v>13200</v>
      </c>
      <c r="D137" s="20" t="n">
        <v>12500</v>
      </c>
      <c r="E137" s="32" t="n">
        <v>280</v>
      </c>
      <c r="F137" s="21" t="n">
        <v>0.512</v>
      </c>
      <c r="G137" s="19" t="inlineStr">
        <is>
          <t>Q3</t>
        </is>
      </c>
    </row>
    <row r="138">
      <c r="A138" s="39" t="inlineStr">
        <is>
          <t>Água Branca</t>
        </is>
      </c>
      <c r="B138" s="40" t="n">
        <v>13789</v>
      </c>
      <c r="C138" s="40" t="n">
        <v>28450</v>
      </c>
      <c r="D138" s="40" t="n">
        <v>26890</v>
      </c>
      <c r="E138" s="41" t="n">
        <v>390</v>
      </c>
      <c r="F138" s="42" t="n">
        <v>0.578</v>
      </c>
      <c r="G138" s="43" t="inlineStr">
        <is>
          <t>Q4_Distante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44" t="inlineStr">
        <is>
          <t>METODOLOGIA DA RANDOMIZAÇÃO</t>
        </is>
      </c>
    </row>
    <row r="2">
      <c r="A2" s="45" t="inlineStr"/>
    </row>
    <row r="3" ht="18" customHeight="1">
      <c r="A3" s="46" t="inlineStr">
        <is>
          <t>1. ESTRATIFICAÇÃO PELA DISTÂNCIA</t>
        </is>
      </c>
    </row>
    <row r="4">
      <c r="A4" s="45" t="inlineStr">
        <is>
          <t>Os 222 municípios foram divididos em 4 quartis pela distância rodoviária até João Pessoa:</t>
        </is>
      </c>
    </row>
    <row r="5">
      <c r="A5" s="45" t="inlineStr">
        <is>
          <t xml:space="preserve">  Q1 — Próximo (~0–100 km)  |  Q2 — Intermed.-próximo (~100–200 km)</t>
        </is>
      </c>
    </row>
    <row r="6">
      <c r="A6" s="45" t="inlineStr">
        <is>
          <t xml:space="preserve">  Q3 — Intermed.-distante (~200–330 km)  |  Q4 — Distante (&gt;330 km)</t>
        </is>
      </c>
    </row>
    <row r="7">
      <c r="A7" s="45" t="inlineStr"/>
    </row>
    <row r="8" ht="18" customHeight="1">
      <c r="A8" s="46" t="inlineStr">
        <is>
          <t>2. EMPARELHAMENTO PAIRWISE — DISTÂNCIA DE MAHALANOBIS</t>
        </is>
      </c>
    </row>
    <row r="9">
      <c r="A9" s="45" t="inlineStr">
        <is>
          <t>Fórmula:  d_M(u,v) = sqrt[ (u−v)ᵀ · Σ⁻¹ · (u−v) ]</t>
        </is>
      </c>
    </row>
    <row r="10">
      <c r="A10" s="45" t="inlineStr">
        <is>
          <t>Variáveis de matching:  log(Receita Corrente),  log(Despesa Corrente),  IDHM</t>
        </is>
      </c>
    </row>
    <row r="11">
      <c r="A11" s="45" t="inlineStr">
        <is>
          <t>A transformação logarítmica mitiga a influência de outliers (JP, Campina Grande).</t>
        </is>
      </c>
    </row>
    <row r="12">
      <c r="A12" s="45" t="inlineStr">
        <is>
          <t>Σ⁻¹ é a inversa da matriz de covariância calculada sobre todos os municípios.</t>
        </is>
      </c>
    </row>
    <row r="13">
      <c r="A13" s="45" t="inlineStr"/>
    </row>
    <row r="14" ht="18" customHeight="1">
      <c r="A14" s="46" t="inlineStr">
        <is>
          <t>3. ALGORITMO HÚNGARO (linear_sum_assignment)</t>
        </is>
      </c>
    </row>
    <row r="15">
      <c r="A15" s="45" t="inlineStr">
        <is>
          <t>Minimiza a SOMA TOTAL das distâncias de Mahalanobis dentro de cada estrato,</t>
        </is>
      </c>
    </row>
    <row r="16">
      <c r="A16" s="45" t="inlineStr">
        <is>
          <t>garantindo o emparelhamento globalmente ótimo (solução exata de atribuição).</t>
        </is>
      </c>
    </row>
    <row r="17">
      <c r="A17" s="45" t="inlineStr"/>
    </row>
    <row r="18" ht="18" customHeight="1">
      <c r="A18" s="46" t="inlineStr">
        <is>
          <t>4. SELEÇÃO DOS 43 PARES</t>
        </is>
      </c>
    </row>
    <row r="19">
      <c r="A19" s="45" t="inlineStr">
        <is>
          <t>Todos os pares gerados nos 4 estratos são ordenados pela distância de Mahalanobis.</t>
        </is>
      </c>
    </row>
    <row r="20">
      <c r="A20" s="45" t="inlineStr">
        <is>
          <t>Os 43 com menor distância são selecionados (melhor qualidade de matching).</t>
        </is>
      </c>
    </row>
    <row r="21">
      <c r="A21" s="45" t="inlineStr"/>
    </row>
    <row r="22" ht="18" customHeight="1">
      <c r="A22" s="46" t="inlineStr">
        <is>
          <t>5. ALEATORIZAÇÃO DENTRO DO PAR</t>
        </is>
      </c>
    </row>
    <row r="23">
      <c r="A23" s="45" t="inlineStr">
        <is>
          <t>Sorteio binário equiprovável determina qual município vai ao Grupo A e qual ao B.</t>
        </is>
      </c>
    </row>
    <row r="24">
      <c r="A24" s="45" t="inlineStr">
        <is>
          <t>Semente: np.random.seed(42) — resultado 100% reprodutível.</t>
        </is>
      </c>
    </row>
    <row r="25">
      <c r="A25" s="45" t="inlineStr"/>
    </row>
    <row r="26" ht="18" customHeight="1">
      <c r="A26" s="46" t="inlineStr">
        <is>
          <t>6. FONTES</t>
        </is>
      </c>
    </row>
    <row r="27">
      <c r="A27" s="45" t="inlineStr">
        <is>
          <t xml:space="preserve">  • População   : IBGE, Censo Demográfico 2022</t>
        </is>
      </c>
    </row>
    <row r="28">
      <c r="A28" s="45" t="inlineStr">
        <is>
          <t xml:space="preserve">  • Receita/Desp: FINBRA / Secretaria do Tesouro Nacional, 2022</t>
        </is>
      </c>
    </row>
    <row r="29">
      <c r="A29" s="45" t="inlineStr">
        <is>
          <t xml:space="preserve">  • IDHM        : PNUD Brasil, Atlas do Desenvolvimento Humano 2010</t>
        </is>
      </c>
    </row>
    <row r="30">
      <c r="A30" s="45" t="inlineStr">
        <is>
          <t xml:space="preserve">  • Distâncias  : DNIT / cálculo rodoviário a partir de João Pessoa (PB)</t>
        </is>
      </c>
    </row>
    <row r="31">
      <c r="A31" s="45" t="inlineStr"/>
    </row>
    <row r="32">
      <c r="A32" s="45" t="inlineStr">
        <is>
          <t>Implementação: Python 3  |  pandas · numpy · scipy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2026-03-09T20:19:17Z</dcterms:created>
  <dcterms:modified xsi:type="dcterms:W3CDTF">2026-03-09T20:19:17Z</dcterms:modified>
</cp:coreProperties>
</file>