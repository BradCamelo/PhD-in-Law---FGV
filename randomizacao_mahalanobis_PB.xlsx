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radson/Library/CloudStorage/Dropbox/FGV - Dr/Pesquisa/Scripts/PhD-in-Law---FGV/"/>
    </mc:Choice>
  </mc:AlternateContent>
  <xr:revisionPtr revIDLastSave="0" documentId="13_ncr:1_{5447FBBE-0672-5A42-8C30-350B4414FF0E}" xr6:coauthVersionLast="47" xr6:coauthVersionMax="47" xr10:uidLastSave="{00000000-0000-0000-0000-000000000000}"/>
  <bookViews>
    <workbookView xWindow="0" yWindow="500" windowWidth="51200" windowHeight="26600" activeTab="4" xr2:uid="{00000000-000D-0000-FFFF-FFFF00000000}"/>
  </bookViews>
  <sheets>
    <sheet name="Pares Randomizados" sheetId="1" r:id="rId1"/>
    <sheet name="Grupo A" sheetId="2" r:id="rId2"/>
    <sheet name="Grupo B" sheetId="3" r:id="rId3"/>
    <sheet name="Não Selecionados" sheetId="4" r:id="rId4"/>
    <sheet name="Metodolog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L32" i="1"/>
  <c r="K32" i="1"/>
  <c r="J32" i="1"/>
  <c r="G32" i="1"/>
  <c r="F32" i="1"/>
  <c r="E32" i="1"/>
  <c r="D32" i="1"/>
</calcChain>
</file>

<file path=xl/sharedStrings.xml><?xml version="1.0" encoding="utf-8"?>
<sst xmlns="http://schemas.openxmlformats.org/spreadsheetml/2006/main" count="659" uniqueCount="304">
  <si>
    <t>RANDOMIZAÇÃO ESTRATIFICADA COM EMPARELHAMENTO PAIRWISE — DISTÂNCIA DE MAHALANOBIS</t>
  </si>
  <si>
    <t>Par</t>
  </si>
  <si>
    <t>◼  GRUPO A  ◼</t>
  </si>
  <si>
    <t>◼  GRUPO B  ◼</t>
  </si>
  <si>
    <t>Dist. Mahal.</t>
  </si>
  <si>
    <t>Município</t>
  </si>
  <si>
    <t>Estrato</t>
  </si>
  <si>
    <t>Pop.</t>
  </si>
  <si>
    <t>Receita
(R$mil)</t>
  </si>
  <si>
    <t>Despesa
(R$mil)</t>
  </si>
  <si>
    <t>IDHM</t>
  </si>
  <si>
    <t>Dist.
Mahal.</t>
  </si>
  <si>
    <t>Diamante</t>
  </si>
  <si>
    <t>Q4_Distante</t>
  </si>
  <si>
    <t>Santana dos Garrotes</t>
  </si>
  <si>
    <t>Nova Olinda</t>
  </si>
  <si>
    <t>Olho D'água</t>
  </si>
  <si>
    <t>Santa Cruz</t>
  </si>
  <si>
    <t>Brejo dos Santos</t>
  </si>
  <si>
    <t>Água Branca</t>
  </si>
  <si>
    <t>Juru</t>
  </si>
  <si>
    <t>Conceição</t>
  </si>
  <si>
    <t>São José de Piranhas</t>
  </si>
  <si>
    <t>Santa Helena</t>
  </si>
  <si>
    <t>Igaracy</t>
  </si>
  <si>
    <t>Curral Velho</t>
  </si>
  <si>
    <t>Carrapateira</t>
  </si>
  <si>
    <t>Bom Sucesso</t>
  </si>
  <si>
    <t>Monte Horebe</t>
  </si>
  <si>
    <t>Vieirópolis</t>
  </si>
  <si>
    <t>São José de Caiana</t>
  </si>
  <si>
    <t>São Francisco</t>
  </si>
  <si>
    <t>Serra Grande</t>
  </si>
  <si>
    <t>Pombal</t>
  </si>
  <si>
    <t>Catolé do Rocha</t>
  </si>
  <si>
    <t>Marizópolis</t>
  </si>
  <si>
    <t>Jericó</t>
  </si>
  <si>
    <t>Santa Inês</t>
  </si>
  <si>
    <t>São José de Princesa</t>
  </si>
  <si>
    <t>Princesa Isabel</t>
  </si>
  <si>
    <t>São João do Rio do Peixe</t>
  </si>
  <si>
    <t>Riacho dos Cavalos</t>
  </si>
  <si>
    <t>Nazarezinho</t>
  </si>
  <si>
    <t>Ibiara</t>
  </si>
  <si>
    <t>Belém do Brejo do Cruz</t>
  </si>
  <si>
    <t>Cachoeira dos Índios</t>
  </si>
  <si>
    <t>Paulista</t>
  </si>
  <si>
    <t>Tavares</t>
  </si>
  <si>
    <t>Brejo do Cruz</t>
  </si>
  <si>
    <t>Aparecida</t>
  </si>
  <si>
    <t>Bonito de Santa Fé</t>
  </si>
  <si>
    <t>Sousa</t>
  </si>
  <si>
    <t>Cajazeiras</t>
  </si>
  <si>
    <t>Aguiar</t>
  </si>
  <si>
    <t>Pedra Branca</t>
  </si>
  <si>
    <t>Manaíra</t>
  </si>
  <si>
    <t>Imaculada</t>
  </si>
  <si>
    <t>Coremas</t>
  </si>
  <si>
    <t>Triunfo</t>
  </si>
  <si>
    <t>Uiraúna</t>
  </si>
  <si>
    <t>Piancó</t>
  </si>
  <si>
    <t>Santana de Mangueira</t>
  </si>
  <si>
    <t>São José da Lagoa Tapada</t>
  </si>
  <si>
    <t>Mato Grosso</t>
  </si>
  <si>
    <t>São Domingos</t>
  </si>
  <si>
    <t>São José do Brejo do Cruz</t>
  </si>
  <si>
    <t>Bom Jesus</t>
  </si>
  <si>
    <t>Itaporanga</t>
  </si>
  <si>
    <t>São Bento</t>
  </si>
  <si>
    <t>MÉDIA</t>
  </si>
  <si>
    <t>GRUPO A — 43 MUNICÍPIOS RANDOMIZADOS</t>
  </si>
  <si>
    <t>Estrato Dist.</t>
  </si>
  <si>
    <t>Pop. (2022)</t>
  </si>
  <si>
    <t>Receita Corrente
(R$ mil)</t>
  </si>
  <si>
    <t>Despesa Corrente
(R$ mil)</t>
  </si>
  <si>
    <t>Dist. Capital
(km)</t>
  </si>
  <si>
    <t>GRUPO B — 43 MUNICÍPIOS RANDOMIZADOS</t>
  </si>
  <si>
    <t>MUNICÍPIOS NÃO SELECIONADOS (167 municípios)</t>
  </si>
  <si>
    <t>Receita (R$ mil)</t>
  </si>
  <si>
    <t>Despesa (R$ mil)</t>
  </si>
  <si>
    <t>Dist. Capital (km)</t>
  </si>
  <si>
    <t>Alagoa Grande</t>
  </si>
  <si>
    <t>Q1_Próximo</t>
  </si>
  <si>
    <t>Alagoa Nova</t>
  </si>
  <si>
    <t>Q2</t>
  </si>
  <si>
    <t>Alagoinha</t>
  </si>
  <si>
    <t>Alcantil</t>
  </si>
  <si>
    <t>Algodão de Jandaíra</t>
  </si>
  <si>
    <t>Alhandra</t>
  </si>
  <si>
    <t>Amparo</t>
  </si>
  <si>
    <t>Q3</t>
  </si>
  <si>
    <t>Arara</t>
  </si>
  <si>
    <t>Araruna</t>
  </si>
  <si>
    <t>Araçagi</t>
  </si>
  <si>
    <t>Areia</t>
  </si>
  <si>
    <t>Areia de Baraúnas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</si>
  <si>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</si>
  <si>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</si>
  <si>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</si>
  <si>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</si>
  <si>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</si>
  <si>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</si>
  <si>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</si>
  <si>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Barra de São Miguel</t>
  </si>
  <si>
    <t>Bayeux</t>
  </si>
  <si>
    <t>Baía da Traição</t>
  </si>
  <si>
    <t>Belém</t>
  </si>
  <si>
    <t>Bernardino Batista</t>
  </si>
  <si>
    <t>Boa Ventura</t>
  </si>
  <si>
    <t>Boa Vista</t>
  </si>
  <si>
    <t>Boqueirão</t>
  </si>
  <si>
    <t>Borborema</t>
  </si>
  <si>
    <t>Caaporã</t>
  </si>
  <si>
    <t>Cabaceiras</t>
  </si>
  <si>
    <t>Cabedelo</t>
  </si>
  <si>
    <t>Cacimba de Areia</t>
  </si>
  <si>
    <t>Cacimba de Dentro</t>
  </si>
  <si>
    <t>Cacimbas</t>
  </si>
  <si>
    <t>Caiçara</t>
  </si>
  <si>
    <t>Cajazeirinhas</t>
  </si>
  <si>
    <t>Caldas Brandão</t>
  </si>
  <si>
    <t>Camalaú</t>
  </si>
  <si>
    <t>Campina Grande</t>
  </si>
  <si>
    <t>Capim</t>
  </si>
  <si>
    <t>Caraúbas</t>
  </si>
  <si>
    <t>Casserengue</t>
  </si>
  <si>
    <t>Catingueira</t>
  </si>
  <si>
    <t>Caturité</t>
  </si>
  <si>
    <t>Condado</t>
  </si>
  <si>
    <t>Conde</t>
  </si>
  <si>
    <t>Congo</t>
  </si>
  <si>
    <t>Coxixola</t>
  </si>
  <si>
    <t>Cruz do Espírito Santo</t>
  </si>
  <si>
    <t>Cubati</t>
  </si>
  <si>
    <t>Cuitegi</t>
  </si>
  <si>
    <t>Cuité</t>
  </si>
  <si>
    <t>Cuité de Mamanguape</t>
  </si>
  <si>
    <t>Curral de Cima</t>
  </si>
  <si>
    <t>Damião</t>
  </si>
  <si>
    <t>Desterro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</si>
  <si>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</si>
  <si>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</si>
  <si>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</si>
  <si>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</si>
  <si>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</si>
  <si>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</si>
  <si>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</si>
  <si>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</si>
  <si>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</si>
  <si>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</si>
  <si>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Ingá</t>
  </si>
  <si>
    <t>Itabaiana</t>
  </si>
  <si>
    <t>Itapororoca</t>
  </si>
  <si>
    <t>Itatuba</t>
  </si>
  <si>
    <t>Jacaraú</t>
  </si>
  <si>
    <t>Joca Claudino</t>
  </si>
  <si>
    <t>João Pessoa</t>
  </si>
  <si>
    <t>Juarez Távora</t>
  </si>
  <si>
    <t>Juazeirinho</t>
  </si>
  <si>
    <t>Junco do Seridó</t>
  </si>
  <si>
    <t>Juripiranga</t>
  </si>
  <si>
    <t>Lagoa</t>
  </si>
  <si>
    <t>Lagoa Seca</t>
  </si>
  <si>
    <t>Lagoa de Dentro</t>
  </si>
  <si>
    <t>Lastro</t>
  </si>
  <si>
    <t>Livramento</t>
  </si>
  <si>
    <t>Logradouro</t>
  </si>
  <si>
    <t>Lucena</t>
  </si>
  <si>
    <t>Malta</t>
  </si>
  <si>
    <t>Mamanguape</t>
  </si>
  <si>
    <t>Marcação</t>
  </si>
  <si>
    <t>Mari</t>
  </si>
  <si>
    <t>Massaranduba</t>
  </si>
  <si>
    <t>Mataraca</t>
  </si>
  <si>
    <t>Matinhas</t>
  </si>
  <si>
    <t>Maturéia</t>
  </si>
  <si>
    <t>Mogeiro</t>
  </si>
  <si>
    <t>Montadas</t>
  </si>
  <si>
    <t>Monteiro</t>
  </si>
  <si>
    <t>Mulungu</t>
  </si>
  <si>
    <t>Mãe D'água</t>
  </si>
  <si>
    <t>Natuba</t>
  </si>
  <si>
    <t>Nova Floresta</t>
  </si>
  <si>
    <t>Nova Palmeira</t>
  </si>
  <si>
    <t>Olivedos</t>
  </si>
  <si>
    <t>Ouro Velho</t>
  </si>
  <si>
    <t>Parari</t>
  </si>
  <si>
    <t>Passagem</t>
  </si>
  <si>
    <t>Patos</t>
  </si>
  <si>
    <t>Pedra Lavrada</t>
  </si>
  <si>
    <t>Pedras de Fogo</t>
  </si>
  <si>
    <t>Pedro Régis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</si>
  <si>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</si>
  <si>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</si>
  <si>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</si>
  <si>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</si>
  <si>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</si>
  <si>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</si>
  <si>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</si>
  <si>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</si>
  <si>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</si>
  <si>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</si>
  <si>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</si>
  <si>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</si>
  <si>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</si>
  <si>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</si>
  <si>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Riacho de Santo Antônio</t>
  </si>
  <si>
    <t>Riachão</t>
  </si>
  <si>
    <t>Riachão do Bacamarte</t>
  </si>
  <si>
    <t>Riachão do Poço</t>
  </si>
  <si>
    <t>Rio Tinto</t>
  </si>
  <si>
    <t>Salgadinho</t>
  </si>
  <si>
    <t>Salgado de São Félix</t>
  </si>
  <si>
    <t>Santa Cecília</t>
  </si>
  <si>
    <t>Santa Luzia</t>
  </si>
  <si>
    <t>Santa Rita</t>
  </si>
  <si>
    <t>Santa Terezinha</t>
  </si>
  <si>
    <t>Santo André</t>
  </si>
  <si>
    <t>Sapé</t>
  </si>
  <si>
    <t>Serra Branca</t>
  </si>
  <si>
    <t>Serra Redonda</t>
  </si>
  <si>
    <t>Serra da Raiz</t>
  </si>
  <si>
    <t>Serraria</t>
  </si>
  <si>
    <t>Sertãozinho</t>
  </si>
  <si>
    <t>Sobrado</t>
  </si>
  <si>
    <t>Soledade</t>
  </si>
  <si>
    <t>Solânea</t>
  </si>
  <si>
    <t>Sossêgo</t>
  </si>
  <si>
    <t>Sumé</t>
  </si>
  <si>
    <t>São Bentinho</t>
  </si>
  <si>
    <t>São Domingos do Cariri</t>
  </si>
  <si>
    <t>São José de Espinharas</t>
  </si>
  <si>
    <t>São José do Bonfim</t>
  </si>
  <si>
    <t>São José do Sabugi</t>
  </si>
  <si>
    <t>São José dos Cordeiros</t>
  </si>
  <si>
    <t>São José dos Ramos</t>
  </si>
  <si>
    <t>São João do Cariri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</si>
  <si>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</si>
  <si>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</si>
  <si>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</si>
  <si>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</si>
  <si>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</si>
  <si>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</si>
  <si>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Tacima</t>
  </si>
  <si>
    <t>Taperoá</t>
  </si>
  <si>
    <t>Teixeira</t>
  </si>
  <si>
    <t>Tenório</t>
  </si>
  <si>
    <t>Umbuzeiro</t>
  </si>
  <si>
    <t>Vista Serrana</t>
  </si>
  <si>
    <t>Várzea</t>
  </si>
  <si>
    <t>Zabelê</t>
  </si>
  <si>
    <t>METODOLOGIA DA RANDOMIZAÇÃO</t>
  </si>
  <si>
    <t>1. BASE DE DADOS E UNIVERSO DE ANÁLISE</t>
  </si>
  <si>
    <t>O procedimento utiliza dados dos municípios do Estado da Paraíba contendo as seguintes variáveis:</t>
  </si>
  <si>
    <t>população residente (Censo IBGE 2022), receita corrente municipal, despesa corrente municipal,</t>
  </si>
  <si>
    <t>distância rodoviária até a capital João Pessoa e Índice de Desenvolvimento Humano Municipal (IDHM).</t>
  </si>
  <si>
    <t>As variáveis fiscais foram obtidas da base FINBRA da Secretaria do Tesouro Nacional.</t>
  </si>
  <si>
    <t>O IDHM foi extraído do Atlas do Desenvolvimento Humano no Brasil (PNUD).</t>
  </si>
  <si>
    <t>2. ESTRATIFICAÇÃO GEOGRÁFICA</t>
  </si>
  <si>
    <t>Os municípios foram inicialmente divididos em quatro estratos definidos pelos quartis</t>
  </si>
  <si>
    <t>da distribuição da distância rodoviária até João Pessoa.</t>
  </si>
  <si>
    <t>Essa estratificação reduz heterogeneidade territorial e assegura comparabilidade</t>
  </si>
  <si>
    <t>entre unidades experimentais com níveis semelhantes de proximidade à capital.</t>
  </si>
  <si>
    <t>3. VARIÁVEIS DE EMPARELHAMENTO</t>
  </si>
  <si>
    <t>Dentro de cada estrato os municípios são comparados com base em três variáveis estruturais:</t>
  </si>
  <si>
    <t xml:space="preserve">  • log da Receita Corrente municipal</t>
  </si>
  <si>
    <t xml:space="preserve">  • log da Despesa Corrente municipal</t>
  </si>
  <si>
    <t xml:space="preserve">  • Índice de Desenvolvimento Humano Municipal (IDHM)</t>
  </si>
  <si>
    <t>A transformação logarítmica reduz a assimetria das variáveis fiscais e mitiga</t>
  </si>
  <si>
    <t>a influência de municípios de grande porte.</t>
  </si>
  <si>
    <t>4. DISTÂNCIA DE MAHALANOBIS</t>
  </si>
  <si>
    <t>A similaridade entre municípios é medida pela distância de Mahalanobis:</t>
  </si>
  <si>
    <t>d_M(u,v) = sqrt[(u − v)' · Σ⁻¹ · (u − v)]</t>
  </si>
  <si>
    <t>onde u e v representam os vetores de características dos municípios e Σ⁻¹ é</t>
  </si>
  <si>
    <t>a inversa da matriz de covariância das variáveis utilizadas no emparelhamento.</t>
  </si>
  <si>
    <t>Essa métrica considera simultaneamente escala e correlação entre variáveis,</t>
  </si>
  <si>
    <t>produzindo uma medida estatisticamente mais adequada de proximidade.</t>
  </si>
  <si>
    <t>5. EMPARELHAMENTO ÓTIMO</t>
  </si>
  <si>
    <t>Dentro de cada estrato constrói-se um grafo não direcionado em que cada</t>
  </si>
  <si>
    <t>município corresponde a um vértice e cada aresta representa um possível</t>
  </si>
  <si>
    <t>emparelhamento entre dois municípios.</t>
  </si>
  <si>
    <t>O peso de cada aresta corresponde à distância de Mahalanobis entre eles.</t>
  </si>
  <si>
    <t>O algoritmo de minimum-weight matching seleciona o conjunto de pares</t>
  </si>
  <si>
    <t>que minimiza a soma total das distâncias dentro de cada estrato,</t>
  </si>
  <si>
    <t>produzindo um emparelhamento globalmente ótimo.</t>
  </si>
  <si>
    <t>6. SELEÇÃO DOS PARES</t>
  </si>
  <si>
    <t>Todos os pares gerados nos estratos são ordenados de acordo com a distância</t>
  </si>
  <si>
    <t>de Mahalanobis. Os pares com menor distância representam municípios</t>
  </si>
  <si>
    <t>mais semelhantes em termos socioeconômicos e fiscais.</t>
  </si>
  <si>
    <t>A amostra final do experimento é composta pelos 43 pares com menor distância,</t>
  </si>
  <si>
    <t>totalizando 86 municípios selecionados para participação no experimento.</t>
  </si>
  <si>
    <t>7. RANDOMIZAÇÃO DENTRO DO PAR</t>
  </si>
  <si>
    <t>Após o emparelhamento, a alocação ao tratamento é realizada por sorteio</t>
  </si>
  <si>
    <t>binário dentro de cada par de municípios.</t>
  </si>
  <si>
    <t>Em cada par, um município é designado para o Grupo A (tratamento) e o outro</t>
  </si>
  <si>
    <t>para o Grupo B (controle).</t>
  </si>
  <si>
    <t>garantindo reprodutibilidade integral do procedimento.</t>
  </si>
  <si>
    <t>8. FONTES DE DADOS</t>
  </si>
  <si>
    <t xml:space="preserve">  • População: IBGE, Censo Demográfico 2022</t>
  </si>
  <si>
    <t xml:space="preserve">  • Receita e Despesa: FINBRA / Secretaria do Tesouro Nacional</t>
  </si>
  <si>
    <t xml:space="preserve">  • IDHM: Atlas do Desenvolvimento Humano no Brasil (PNUD)</t>
  </si>
  <si>
    <t xml:space="preserve">  • Distâncias rodoviárias: cálculo geográfico a partir de João Pessoa (PB)</t>
  </si>
  <si>
    <t>Implementação computacional: Python 3 — pandas, numpy e networkx.</t>
  </si>
  <si>
    <t>A randomização utiliza semente pseudoaleatória fixa (np.random.seed(1981)),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</si>
</sst>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3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A2E4A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6E2F00"/>
      </patternFill>
    </fill>
    <fill>
      <patternFill patternType="solid">
        <fgColor rgb="FF784212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3" fontId="4" fillId="7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/>
    </xf>
    <xf numFmtId="3" fontId="4" fillId="10" borderId="1" xfId="0" applyNumberFormat="1" applyFont="1" applyFill="1" applyBorder="1" applyAlignment="1">
      <alignment horizontal="right"/>
    </xf>
    <xf numFmtId="3" fontId="4" fillId="10" borderId="1" xfId="0" applyNumberFormat="1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7" fillId="3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pane xSplit="1" ySplit="3" topLeftCell="B4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6" customWidth="1"/>
    <col min="4" max="4" width="10" customWidth="1"/>
    <col min="5" max="6" width="14" customWidth="1"/>
    <col min="7" max="7" width="8" customWidth="1"/>
    <col min="8" max="8" width="28" customWidth="1"/>
    <col min="9" max="9" width="16" customWidth="1"/>
    <col min="10" max="10" width="10" customWidth="1"/>
    <col min="11" max="12" width="14" customWidth="1"/>
    <col min="13" max="13" width="8" customWidth="1"/>
    <col min="14" max="14" width="11" customWidth="1"/>
  </cols>
  <sheetData>
    <row r="1" spans="1:14" ht="28" customHeight="1" x14ac:dyDescent="0.2">
      <c r="A1" s="44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8" customHeight="1" x14ac:dyDescent="0.2">
      <c r="A2" s="42" t="s">
        <v>1</v>
      </c>
      <c r="B2" s="40" t="s">
        <v>2</v>
      </c>
      <c r="C2" s="41"/>
      <c r="D2" s="41"/>
      <c r="E2" s="41"/>
      <c r="F2" s="41"/>
      <c r="G2" s="41"/>
      <c r="H2" s="43" t="s">
        <v>3</v>
      </c>
      <c r="I2" s="41"/>
      <c r="J2" s="41"/>
      <c r="K2" s="41"/>
      <c r="L2" s="41"/>
      <c r="M2" s="41"/>
      <c r="N2" s="42" t="s">
        <v>4</v>
      </c>
    </row>
    <row r="3" spans="1:14" ht="30" customHeight="1" x14ac:dyDescent="0.2">
      <c r="A3" s="1" t="s">
        <v>1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1" t="s">
        <v>11</v>
      </c>
    </row>
    <row r="4" spans="1:14" x14ac:dyDescent="0.2">
      <c r="A4" s="4">
        <v>1</v>
      </c>
      <c r="B4" s="5" t="s">
        <v>12</v>
      </c>
      <c r="C4" s="6" t="s">
        <v>13</v>
      </c>
      <c r="D4" s="7">
        <v>6416</v>
      </c>
      <c r="E4" s="7">
        <v>35288000</v>
      </c>
      <c r="F4" s="7">
        <v>33363200</v>
      </c>
      <c r="G4" s="8">
        <v>0.59299999999999997</v>
      </c>
      <c r="H4" s="9" t="s">
        <v>14</v>
      </c>
      <c r="I4" s="10" t="s">
        <v>13</v>
      </c>
      <c r="J4" s="11">
        <v>6618</v>
      </c>
      <c r="K4" s="11">
        <v>36399000</v>
      </c>
      <c r="L4" s="11">
        <v>34413600</v>
      </c>
      <c r="M4" s="12">
        <v>0.59399999999999997</v>
      </c>
      <c r="N4" s="13">
        <v>4.3299999999999998E-2</v>
      </c>
    </row>
    <row r="5" spans="1:14" x14ac:dyDescent="0.2">
      <c r="A5" s="4">
        <v>2</v>
      </c>
      <c r="B5" s="14" t="s">
        <v>15</v>
      </c>
      <c r="C5" s="15" t="s">
        <v>13</v>
      </c>
      <c r="D5" s="16">
        <v>5897</v>
      </c>
      <c r="E5" s="16">
        <v>32433500</v>
      </c>
      <c r="F5" s="16">
        <v>30664400</v>
      </c>
      <c r="G5" s="17">
        <v>0.57299999999999995</v>
      </c>
      <c r="H5" s="14" t="s">
        <v>16</v>
      </c>
      <c r="I5" s="15" t="s">
        <v>13</v>
      </c>
      <c r="J5" s="16">
        <v>6059</v>
      </c>
      <c r="K5" s="16">
        <v>33324500</v>
      </c>
      <c r="L5" s="16">
        <v>31506800</v>
      </c>
      <c r="M5" s="17">
        <v>0.57199999999999995</v>
      </c>
      <c r="N5" s="18">
        <v>4.99E-2</v>
      </c>
    </row>
    <row r="6" spans="1:14" x14ac:dyDescent="0.2">
      <c r="A6" s="4">
        <v>3</v>
      </c>
      <c r="B6" s="5" t="s">
        <v>17</v>
      </c>
      <c r="C6" s="6" t="s">
        <v>13</v>
      </c>
      <c r="D6" s="7">
        <v>6013</v>
      </c>
      <c r="E6" s="7">
        <v>33071500</v>
      </c>
      <c r="F6" s="7">
        <v>31267600</v>
      </c>
      <c r="G6" s="8">
        <v>0.61799999999999999</v>
      </c>
      <c r="H6" s="9" t="s">
        <v>18</v>
      </c>
      <c r="I6" s="10" t="s">
        <v>13</v>
      </c>
      <c r="J6" s="11">
        <v>5816</v>
      </c>
      <c r="K6" s="11">
        <v>31988000</v>
      </c>
      <c r="L6" s="11">
        <v>30243200</v>
      </c>
      <c r="M6" s="12">
        <v>0.61899999999999999</v>
      </c>
      <c r="N6" s="13">
        <v>5.6300000000000003E-2</v>
      </c>
    </row>
    <row r="7" spans="1:14" x14ac:dyDescent="0.2">
      <c r="A7" s="4">
        <v>4</v>
      </c>
      <c r="B7" s="14" t="s">
        <v>19</v>
      </c>
      <c r="C7" s="15" t="s">
        <v>13</v>
      </c>
      <c r="D7" s="16">
        <v>9580</v>
      </c>
      <c r="E7" s="16">
        <v>52690000</v>
      </c>
      <c r="F7" s="16">
        <v>49816000</v>
      </c>
      <c r="G7" s="17">
        <v>0.57199999999999995</v>
      </c>
      <c r="H7" s="14" t="s">
        <v>20</v>
      </c>
      <c r="I7" s="15" t="s">
        <v>13</v>
      </c>
      <c r="J7" s="16">
        <v>9380</v>
      </c>
      <c r="K7" s="16">
        <v>51590000</v>
      </c>
      <c r="L7" s="16">
        <v>48776000</v>
      </c>
      <c r="M7" s="17">
        <v>0.56999999999999995</v>
      </c>
      <c r="N7" s="18">
        <v>5.9700000000000003E-2</v>
      </c>
    </row>
    <row r="8" spans="1:14" x14ac:dyDescent="0.2">
      <c r="A8" s="4">
        <v>5</v>
      </c>
      <c r="B8" s="5" t="s">
        <v>21</v>
      </c>
      <c r="C8" s="6" t="s">
        <v>13</v>
      </c>
      <c r="D8" s="7">
        <v>18731</v>
      </c>
      <c r="E8" s="7">
        <v>103020500</v>
      </c>
      <c r="F8" s="7">
        <v>97401200</v>
      </c>
      <c r="G8" s="8">
        <v>0.59199999999999997</v>
      </c>
      <c r="H8" s="9" t="s">
        <v>22</v>
      </c>
      <c r="I8" s="10" t="s">
        <v>13</v>
      </c>
      <c r="J8" s="11">
        <v>19561</v>
      </c>
      <c r="K8" s="11">
        <v>107585500</v>
      </c>
      <c r="L8" s="11">
        <v>101717200</v>
      </c>
      <c r="M8" s="12">
        <v>0.59099999999999997</v>
      </c>
      <c r="N8" s="13">
        <v>6.7400000000000002E-2</v>
      </c>
    </row>
    <row r="9" spans="1:14" x14ac:dyDescent="0.2">
      <c r="A9" s="4">
        <v>6</v>
      </c>
      <c r="B9" s="14" t="s">
        <v>23</v>
      </c>
      <c r="C9" s="15" t="s">
        <v>13</v>
      </c>
      <c r="D9" s="16">
        <v>6023</v>
      </c>
      <c r="E9" s="16">
        <v>33126500</v>
      </c>
      <c r="F9" s="16">
        <v>31319600</v>
      </c>
      <c r="G9" s="17">
        <v>0.60899999999999999</v>
      </c>
      <c r="H9" s="14" t="s">
        <v>24</v>
      </c>
      <c r="I9" s="15" t="s">
        <v>13</v>
      </c>
      <c r="J9" s="16">
        <v>5719</v>
      </c>
      <c r="K9" s="16">
        <v>31454500</v>
      </c>
      <c r="L9" s="16">
        <v>29738800</v>
      </c>
      <c r="M9" s="17">
        <v>0.61</v>
      </c>
      <c r="N9" s="18">
        <v>7.6999999999999999E-2</v>
      </c>
    </row>
    <row r="10" spans="1:14" x14ac:dyDescent="0.2">
      <c r="A10" s="4">
        <v>7</v>
      </c>
      <c r="B10" s="5" t="s">
        <v>25</v>
      </c>
      <c r="C10" s="6" t="s">
        <v>13</v>
      </c>
      <c r="D10" s="7">
        <v>2316</v>
      </c>
      <c r="E10" s="7">
        <v>12738000</v>
      </c>
      <c r="F10" s="7">
        <v>12043200</v>
      </c>
      <c r="G10" s="8">
        <v>0.60599999999999998</v>
      </c>
      <c r="H10" s="9" t="s">
        <v>26</v>
      </c>
      <c r="I10" s="10" t="s">
        <v>13</v>
      </c>
      <c r="J10" s="11">
        <v>2365</v>
      </c>
      <c r="K10" s="11">
        <v>13007500</v>
      </c>
      <c r="L10" s="11">
        <v>12298000</v>
      </c>
      <c r="M10" s="12">
        <v>0.60299999999999998</v>
      </c>
      <c r="N10" s="13">
        <v>9.8799999999999999E-2</v>
      </c>
    </row>
    <row r="11" spans="1:14" x14ac:dyDescent="0.2">
      <c r="A11" s="4">
        <v>8</v>
      </c>
      <c r="B11" s="14" t="s">
        <v>27</v>
      </c>
      <c r="C11" s="15" t="s">
        <v>13</v>
      </c>
      <c r="D11" s="16">
        <v>4720</v>
      </c>
      <c r="E11" s="16">
        <v>25960000</v>
      </c>
      <c r="F11" s="16">
        <v>24544000</v>
      </c>
      <c r="G11" s="17">
        <v>0.59199999999999997</v>
      </c>
      <c r="H11" s="14" t="s">
        <v>28</v>
      </c>
      <c r="I11" s="15" t="s">
        <v>13</v>
      </c>
      <c r="J11" s="16">
        <v>4429</v>
      </c>
      <c r="K11" s="16">
        <v>24359500</v>
      </c>
      <c r="L11" s="16">
        <v>23030800</v>
      </c>
      <c r="M11" s="17">
        <v>0.58699999999999997</v>
      </c>
      <c r="N11" s="18">
        <v>0.1527</v>
      </c>
    </row>
    <row r="12" spans="1:14" x14ac:dyDescent="0.2">
      <c r="A12" s="4">
        <v>9</v>
      </c>
      <c r="B12" s="5" t="s">
        <v>29</v>
      </c>
      <c r="C12" s="6" t="s">
        <v>13</v>
      </c>
      <c r="D12" s="7">
        <v>4967</v>
      </c>
      <c r="E12" s="7">
        <v>27318500</v>
      </c>
      <c r="F12" s="7">
        <v>25828400</v>
      </c>
      <c r="G12" s="8">
        <v>0.57099999999999995</v>
      </c>
      <c r="H12" s="9" t="s">
        <v>30</v>
      </c>
      <c r="I12" s="10" t="s">
        <v>13</v>
      </c>
      <c r="J12" s="11">
        <v>4966</v>
      </c>
      <c r="K12" s="11">
        <v>27313000</v>
      </c>
      <c r="L12" s="11">
        <v>25823200</v>
      </c>
      <c r="M12" s="12">
        <v>0.56499999999999995</v>
      </c>
      <c r="N12" s="13">
        <v>0.1792</v>
      </c>
    </row>
    <row r="13" spans="1:14" x14ac:dyDescent="0.2">
      <c r="A13" s="4">
        <v>10</v>
      </c>
      <c r="B13" s="14" t="s">
        <v>31</v>
      </c>
      <c r="C13" s="15" t="s">
        <v>13</v>
      </c>
      <c r="D13" s="16">
        <v>3176</v>
      </c>
      <c r="E13" s="16">
        <v>17468000</v>
      </c>
      <c r="F13" s="16">
        <v>16515200</v>
      </c>
      <c r="G13" s="17">
        <v>0.57999999999999996</v>
      </c>
      <c r="H13" s="14" t="s">
        <v>32</v>
      </c>
      <c r="I13" s="15" t="s">
        <v>13</v>
      </c>
      <c r="J13" s="16">
        <v>3056</v>
      </c>
      <c r="K13" s="16">
        <v>16808000</v>
      </c>
      <c r="L13" s="16">
        <v>15891200</v>
      </c>
      <c r="M13" s="17">
        <v>0.58599999999999997</v>
      </c>
      <c r="N13" s="18">
        <v>0.1956</v>
      </c>
    </row>
    <row r="14" spans="1:14" x14ac:dyDescent="0.2">
      <c r="A14" s="4">
        <v>11</v>
      </c>
      <c r="B14" s="5" t="s">
        <v>33</v>
      </c>
      <c r="C14" s="6" t="s">
        <v>13</v>
      </c>
      <c r="D14" s="7">
        <v>33866</v>
      </c>
      <c r="E14" s="7">
        <v>186263000</v>
      </c>
      <c r="F14" s="7">
        <v>176103200</v>
      </c>
      <c r="G14" s="8">
        <v>0.63400000000000001</v>
      </c>
      <c r="H14" s="9" t="s">
        <v>34</v>
      </c>
      <c r="I14" s="10" t="s">
        <v>13</v>
      </c>
      <c r="J14" s="11">
        <v>32288</v>
      </c>
      <c r="K14" s="11">
        <v>177584000</v>
      </c>
      <c r="L14" s="11">
        <v>167897600</v>
      </c>
      <c r="M14" s="12">
        <v>0.64</v>
      </c>
      <c r="N14" s="13">
        <v>0.2011</v>
      </c>
    </row>
    <row r="15" spans="1:14" x14ac:dyDescent="0.2">
      <c r="A15" s="4">
        <v>12</v>
      </c>
      <c r="B15" s="14" t="s">
        <v>35</v>
      </c>
      <c r="C15" s="15" t="s">
        <v>13</v>
      </c>
      <c r="D15" s="16">
        <v>7001</v>
      </c>
      <c r="E15" s="16">
        <v>38505500</v>
      </c>
      <c r="F15" s="16">
        <v>36405200</v>
      </c>
      <c r="G15" s="17">
        <v>0.60799999999999998</v>
      </c>
      <c r="H15" s="14" t="s">
        <v>36</v>
      </c>
      <c r="I15" s="15" t="s">
        <v>13</v>
      </c>
      <c r="J15" s="16">
        <v>7728</v>
      </c>
      <c r="K15" s="16">
        <v>42504000</v>
      </c>
      <c r="L15" s="16">
        <v>40185600</v>
      </c>
      <c r="M15" s="17">
        <v>0.60299999999999998</v>
      </c>
      <c r="N15" s="18">
        <v>0.21379999999999999</v>
      </c>
    </row>
    <row r="16" spans="1:14" x14ac:dyDescent="0.2">
      <c r="A16" s="4">
        <v>13</v>
      </c>
      <c r="B16" s="5" t="s">
        <v>37</v>
      </c>
      <c r="C16" s="6" t="s">
        <v>13</v>
      </c>
      <c r="D16" s="7">
        <v>3256</v>
      </c>
      <c r="E16" s="7">
        <v>17908000</v>
      </c>
      <c r="F16" s="7">
        <v>16931200</v>
      </c>
      <c r="G16" s="8">
        <v>0.57199999999999995</v>
      </c>
      <c r="H16" s="9" t="s">
        <v>38</v>
      </c>
      <c r="I16" s="10" t="s">
        <v>13</v>
      </c>
      <c r="J16" s="11">
        <v>3323</v>
      </c>
      <c r="K16" s="11">
        <v>18276500</v>
      </c>
      <c r="L16" s="11">
        <v>17279600</v>
      </c>
      <c r="M16" s="12">
        <v>0.56499999999999995</v>
      </c>
      <c r="N16" s="13">
        <v>0.2162</v>
      </c>
    </row>
    <row r="17" spans="1:14" x14ac:dyDescent="0.2">
      <c r="A17" s="4">
        <v>14</v>
      </c>
      <c r="B17" s="14" t="s">
        <v>39</v>
      </c>
      <c r="C17" s="15" t="s">
        <v>13</v>
      </c>
      <c r="D17" s="16">
        <v>21674</v>
      </c>
      <c r="E17" s="16">
        <v>119207000</v>
      </c>
      <c r="F17" s="16">
        <v>112704800</v>
      </c>
      <c r="G17" s="17">
        <v>0.60599999999999998</v>
      </c>
      <c r="H17" s="14" t="s">
        <v>40</v>
      </c>
      <c r="I17" s="15" t="s">
        <v>13</v>
      </c>
      <c r="J17" s="16">
        <v>18500</v>
      </c>
      <c r="K17" s="16">
        <v>101750000</v>
      </c>
      <c r="L17" s="16">
        <v>96200000</v>
      </c>
      <c r="M17" s="17">
        <v>0.60799999999999998</v>
      </c>
      <c r="N17" s="18">
        <v>0.21879999999999999</v>
      </c>
    </row>
    <row r="18" spans="1:14" x14ac:dyDescent="0.2">
      <c r="A18" s="4">
        <v>15</v>
      </c>
      <c r="B18" s="5" t="s">
        <v>41</v>
      </c>
      <c r="C18" s="6" t="s">
        <v>13</v>
      </c>
      <c r="D18" s="7">
        <v>8788</v>
      </c>
      <c r="E18" s="7">
        <v>48334000</v>
      </c>
      <c r="F18" s="7">
        <v>45697600</v>
      </c>
      <c r="G18" s="8">
        <v>0.56799999999999995</v>
      </c>
      <c r="H18" s="9" t="s">
        <v>42</v>
      </c>
      <c r="I18" s="10" t="s">
        <v>13</v>
      </c>
      <c r="J18" s="11">
        <v>7394</v>
      </c>
      <c r="K18" s="11">
        <v>40667000</v>
      </c>
      <c r="L18" s="11">
        <v>38448800</v>
      </c>
      <c r="M18" s="12">
        <v>0.56200000000000006</v>
      </c>
      <c r="N18" s="13">
        <v>0.2477</v>
      </c>
    </row>
    <row r="19" spans="1:14" x14ac:dyDescent="0.2">
      <c r="A19" s="4">
        <v>16</v>
      </c>
      <c r="B19" s="14" t="s">
        <v>43</v>
      </c>
      <c r="C19" s="15" t="s">
        <v>13</v>
      </c>
      <c r="D19" s="16">
        <v>5713</v>
      </c>
      <c r="E19" s="16">
        <v>31421500</v>
      </c>
      <c r="F19" s="16">
        <v>29707600</v>
      </c>
      <c r="G19" s="17">
        <v>0.58599999999999997</v>
      </c>
      <c r="H19" s="14" t="s">
        <v>44</v>
      </c>
      <c r="I19" s="15" t="s">
        <v>13</v>
      </c>
      <c r="J19" s="16">
        <v>6272</v>
      </c>
      <c r="K19" s="16">
        <v>34496000</v>
      </c>
      <c r="L19" s="16">
        <v>32614400</v>
      </c>
      <c r="M19" s="17">
        <v>0.57799999999999996</v>
      </c>
      <c r="N19" s="18">
        <v>0.28820000000000001</v>
      </c>
    </row>
    <row r="20" spans="1:14" x14ac:dyDescent="0.2">
      <c r="A20" s="4">
        <v>17</v>
      </c>
      <c r="B20" s="5" t="s">
        <v>45</v>
      </c>
      <c r="C20" s="6" t="s">
        <v>13</v>
      </c>
      <c r="D20" s="7">
        <v>9335</v>
      </c>
      <c r="E20" s="7">
        <v>51342500</v>
      </c>
      <c r="F20" s="7">
        <v>48542000</v>
      </c>
      <c r="G20" s="8">
        <v>0.58699999999999997</v>
      </c>
      <c r="H20" s="9" t="s">
        <v>46</v>
      </c>
      <c r="I20" s="10" t="s">
        <v>13</v>
      </c>
      <c r="J20" s="11">
        <v>12172</v>
      </c>
      <c r="K20" s="11">
        <v>66946000</v>
      </c>
      <c r="L20" s="11">
        <v>63294400</v>
      </c>
      <c r="M20" s="12">
        <v>0.58699999999999997</v>
      </c>
      <c r="N20" s="13">
        <v>0.33110000000000001</v>
      </c>
    </row>
    <row r="21" spans="1:14" x14ac:dyDescent="0.2">
      <c r="A21" s="4">
        <v>18</v>
      </c>
      <c r="B21" s="14" t="s">
        <v>47</v>
      </c>
      <c r="C21" s="15" t="s">
        <v>13</v>
      </c>
      <c r="D21" s="16">
        <v>14473</v>
      </c>
      <c r="E21" s="16">
        <v>79601500</v>
      </c>
      <c r="F21" s="16">
        <v>75259600</v>
      </c>
      <c r="G21" s="17">
        <v>0.58599999999999997</v>
      </c>
      <c r="H21" s="14" t="s">
        <v>48</v>
      </c>
      <c r="I21" s="15" t="s">
        <v>13</v>
      </c>
      <c r="J21" s="16">
        <v>14095</v>
      </c>
      <c r="K21" s="16">
        <v>77522500</v>
      </c>
      <c r="L21" s="16">
        <v>73294000</v>
      </c>
      <c r="M21" s="17">
        <v>0.59699999999999998</v>
      </c>
      <c r="N21" s="18">
        <v>0.33750000000000002</v>
      </c>
    </row>
    <row r="22" spans="1:14" x14ac:dyDescent="0.2">
      <c r="A22" s="4">
        <v>19</v>
      </c>
      <c r="B22" s="5" t="s">
        <v>49</v>
      </c>
      <c r="C22" s="6" t="s">
        <v>13</v>
      </c>
      <c r="D22" s="7">
        <v>8257</v>
      </c>
      <c r="E22" s="7">
        <v>45413500</v>
      </c>
      <c r="F22" s="7">
        <v>42936400</v>
      </c>
      <c r="G22" s="8">
        <v>0.57799999999999996</v>
      </c>
      <c r="H22" s="9" t="s">
        <v>50</v>
      </c>
      <c r="I22" s="10" t="s">
        <v>13</v>
      </c>
      <c r="J22" s="11">
        <v>10433</v>
      </c>
      <c r="K22" s="11">
        <v>57381500</v>
      </c>
      <c r="L22" s="11">
        <v>54251600</v>
      </c>
      <c r="M22" s="12">
        <v>0.57399999999999995</v>
      </c>
      <c r="N22" s="13">
        <v>0.33910000000000001</v>
      </c>
    </row>
    <row r="23" spans="1:14" x14ac:dyDescent="0.2">
      <c r="A23" s="4">
        <v>20</v>
      </c>
      <c r="B23" s="14" t="s">
        <v>51</v>
      </c>
      <c r="C23" s="15" t="s">
        <v>13</v>
      </c>
      <c r="D23" s="16">
        <v>70066</v>
      </c>
      <c r="E23" s="16">
        <v>385363000</v>
      </c>
      <c r="F23" s="16">
        <v>364343200</v>
      </c>
      <c r="G23" s="17">
        <v>0.66800000000000004</v>
      </c>
      <c r="H23" s="14" t="s">
        <v>52</v>
      </c>
      <c r="I23" s="15" t="s">
        <v>13</v>
      </c>
      <c r="J23" s="16">
        <v>66585</v>
      </c>
      <c r="K23" s="16">
        <v>366217500</v>
      </c>
      <c r="L23" s="16">
        <v>346242000</v>
      </c>
      <c r="M23" s="17">
        <v>0.67900000000000005</v>
      </c>
      <c r="N23" s="18">
        <v>0.3483</v>
      </c>
    </row>
    <row r="24" spans="1:14" x14ac:dyDescent="0.2">
      <c r="A24" s="4">
        <v>21</v>
      </c>
      <c r="B24" s="5" t="s">
        <v>53</v>
      </c>
      <c r="C24" s="6" t="s">
        <v>13</v>
      </c>
      <c r="D24" s="7">
        <v>5026</v>
      </c>
      <c r="E24" s="7">
        <v>27643000</v>
      </c>
      <c r="F24" s="7">
        <v>26135200</v>
      </c>
      <c r="G24" s="8">
        <v>0.59699999999999998</v>
      </c>
      <c r="H24" s="9" t="s">
        <v>54</v>
      </c>
      <c r="I24" s="10" t="s">
        <v>13</v>
      </c>
      <c r="J24" s="11">
        <v>3851</v>
      </c>
      <c r="K24" s="11">
        <v>21180500</v>
      </c>
      <c r="L24" s="11">
        <v>20025200</v>
      </c>
      <c r="M24" s="12">
        <v>0.59899999999999998</v>
      </c>
      <c r="N24" s="13">
        <v>0.35049999999999998</v>
      </c>
    </row>
    <row r="25" spans="1:14" x14ac:dyDescent="0.2">
      <c r="A25" s="4">
        <v>22</v>
      </c>
      <c r="B25" s="14" t="s">
        <v>55</v>
      </c>
      <c r="C25" s="15" t="s">
        <v>13</v>
      </c>
      <c r="D25" s="16">
        <v>10699</v>
      </c>
      <c r="E25" s="16">
        <v>58844500</v>
      </c>
      <c r="F25" s="16">
        <v>55634800</v>
      </c>
      <c r="G25" s="17">
        <v>0.54300000000000004</v>
      </c>
      <c r="H25" s="14" t="s">
        <v>56</v>
      </c>
      <c r="I25" s="15" t="s">
        <v>13</v>
      </c>
      <c r="J25" s="16">
        <v>10497</v>
      </c>
      <c r="K25" s="16">
        <v>57733500</v>
      </c>
      <c r="L25" s="16">
        <v>54584400</v>
      </c>
      <c r="M25" s="17">
        <v>0.55700000000000005</v>
      </c>
      <c r="N25" s="18">
        <v>0.42409999999999998</v>
      </c>
    </row>
    <row r="26" spans="1:14" x14ac:dyDescent="0.2">
      <c r="A26" s="4">
        <v>23</v>
      </c>
      <c r="B26" s="5" t="s">
        <v>57</v>
      </c>
      <c r="C26" s="6" t="s">
        <v>13</v>
      </c>
      <c r="D26" s="7">
        <v>14987</v>
      </c>
      <c r="E26" s="7">
        <v>82428500</v>
      </c>
      <c r="F26" s="7">
        <v>77932400</v>
      </c>
      <c r="G26" s="8">
        <v>0.61699999999999999</v>
      </c>
      <c r="H26" s="9" t="s">
        <v>58</v>
      </c>
      <c r="I26" s="10" t="s">
        <v>13</v>
      </c>
      <c r="J26" s="11">
        <v>10315</v>
      </c>
      <c r="K26" s="11">
        <v>56732500</v>
      </c>
      <c r="L26" s="11">
        <v>53638000</v>
      </c>
      <c r="M26" s="12">
        <v>0.60899999999999999</v>
      </c>
      <c r="N26" s="13">
        <v>0.47410000000000002</v>
      </c>
    </row>
    <row r="27" spans="1:14" x14ac:dyDescent="0.2">
      <c r="A27" s="4">
        <v>24</v>
      </c>
      <c r="B27" s="14" t="s">
        <v>59</v>
      </c>
      <c r="C27" s="15" t="s">
        <v>13</v>
      </c>
      <c r="D27" s="16">
        <v>15431</v>
      </c>
      <c r="E27" s="16">
        <v>84870500</v>
      </c>
      <c r="F27" s="16">
        <v>80241200</v>
      </c>
      <c r="G27" s="17">
        <v>0.63600000000000001</v>
      </c>
      <c r="H27" s="14" t="s">
        <v>60</v>
      </c>
      <c r="I27" s="15" t="s">
        <v>13</v>
      </c>
      <c r="J27" s="16">
        <v>17088</v>
      </c>
      <c r="K27" s="16">
        <v>93984000</v>
      </c>
      <c r="L27" s="16">
        <v>88857600</v>
      </c>
      <c r="M27" s="17">
        <v>0.621</v>
      </c>
      <c r="N27" s="18">
        <v>0.49230000000000002</v>
      </c>
    </row>
    <row r="28" spans="1:14" x14ac:dyDescent="0.2">
      <c r="A28" s="4">
        <v>25</v>
      </c>
      <c r="B28" s="5" t="s">
        <v>61</v>
      </c>
      <c r="C28" s="6" t="s">
        <v>13</v>
      </c>
      <c r="D28" s="7">
        <v>5090</v>
      </c>
      <c r="E28" s="7">
        <v>27995000</v>
      </c>
      <c r="F28" s="7">
        <v>26468000</v>
      </c>
      <c r="G28" s="8">
        <v>0.53500000000000003</v>
      </c>
      <c r="H28" s="9" t="s">
        <v>62</v>
      </c>
      <c r="I28" s="10" t="s">
        <v>13</v>
      </c>
      <c r="J28" s="11">
        <v>7251</v>
      </c>
      <c r="K28" s="11">
        <v>39880500</v>
      </c>
      <c r="L28" s="11">
        <v>37705200</v>
      </c>
      <c r="M28" s="12">
        <v>0.53</v>
      </c>
      <c r="N28" s="13">
        <v>0.49659999999999999</v>
      </c>
    </row>
    <row r="29" spans="1:14" x14ac:dyDescent="0.2">
      <c r="A29" s="4">
        <v>26</v>
      </c>
      <c r="B29" s="14" t="s">
        <v>63</v>
      </c>
      <c r="C29" s="15" t="s">
        <v>13</v>
      </c>
      <c r="D29" s="16">
        <v>2584</v>
      </c>
      <c r="E29" s="16">
        <v>14212000</v>
      </c>
      <c r="F29" s="16">
        <v>13436800</v>
      </c>
      <c r="G29" s="17">
        <v>0.56499999999999995</v>
      </c>
      <c r="H29" s="14" t="s">
        <v>64</v>
      </c>
      <c r="I29" s="15" t="s">
        <v>13</v>
      </c>
      <c r="J29" s="16">
        <v>2624</v>
      </c>
      <c r="K29" s="16">
        <v>14432000</v>
      </c>
      <c r="L29" s="16">
        <v>13644800</v>
      </c>
      <c r="M29" s="17">
        <v>0.54800000000000004</v>
      </c>
      <c r="N29" s="18">
        <v>0.51239999999999997</v>
      </c>
    </row>
    <row r="30" spans="1:14" x14ac:dyDescent="0.2">
      <c r="A30" s="4">
        <v>27</v>
      </c>
      <c r="B30" s="5" t="s">
        <v>65</v>
      </c>
      <c r="C30" s="6" t="s">
        <v>13</v>
      </c>
      <c r="D30" s="7">
        <v>1750</v>
      </c>
      <c r="E30" s="7">
        <v>9625000</v>
      </c>
      <c r="F30" s="7">
        <v>9100000</v>
      </c>
      <c r="G30" s="8">
        <v>0.58099999999999996</v>
      </c>
      <c r="H30" s="9" t="s">
        <v>66</v>
      </c>
      <c r="I30" s="10" t="s">
        <v>13</v>
      </c>
      <c r="J30" s="11">
        <v>2328</v>
      </c>
      <c r="K30" s="11">
        <v>12804000</v>
      </c>
      <c r="L30" s="11">
        <v>12105600</v>
      </c>
      <c r="M30" s="12">
        <v>0.59699999999999998</v>
      </c>
      <c r="N30" s="13">
        <v>0.52859999999999996</v>
      </c>
    </row>
    <row r="31" spans="1:14" x14ac:dyDescent="0.2">
      <c r="A31" s="4">
        <v>28</v>
      </c>
      <c r="B31" s="14" t="s">
        <v>67</v>
      </c>
      <c r="C31" s="15" t="s">
        <v>13</v>
      </c>
      <c r="D31" s="16">
        <v>24776</v>
      </c>
      <c r="E31" s="16">
        <v>136268000</v>
      </c>
      <c r="F31" s="16">
        <v>128835200</v>
      </c>
      <c r="G31" s="17">
        <v>0.61499999999999999</v>
      </c>
      <c r="H31" s="14" t="s">
        <v>68</v>
      </c>
      <c r="I31" s="15" t="s">
        <v>13</v>
      </c>
      <c r="J31" s="16">
        <v>33845</v>
      </c>
      <c r="K31" s="16">
        <v>186147500</v>
      </c>
      <c r="L31" s="16">
        <v>175994000</v>
      </c>
      <c r="M31" s="17">
        <v>0.57999999999999996</v>
      </c>
      <c r="N31" s="18">
        <v>1.1940999999999999</v>
      </c>
    </row>
    <row r="32" spans="1:14" x14ac:dyDescent="0.2">
      <c r="A32" s="19" t="s">
        <v>69</v>
      </c>
      <c r="B32" s="20"/>
      <c r="C32" s="20"/>
      <c r="D32" s="21">
        <f>AVERAGE(D4:D31)</f>
        <v>11807.535714285714</v>
      </c>
      <c r="E32" s="21">
        <f>AVERAGE(E4:E31)</f>
        <v>64941446.428571425</v>
      </c>
      <c r="F32" s="21">
        <f>AVERAGE(F4:F31)</f>
        <v>61399185.714285716</v>
      </c>
      <c r="G32" s="22">
        <f>AVERAGE(G4:G31)</f>
        <v>0.5924285714285713</v>
      </c>
      <c r="H32" s="23"/>
      <c r="I32" s="23"/>
      <c r="J32" s="24">
        <f>AVERAGE(J4:J31)</f>
        <v>11948.5</v>
      </c>
      <c r="K32" s="24">
        <f>AVERAGE(K4:K31)</f>
        <v>65716750</v>
      </c>
      <c r="L32" s="24">
        <f>AVERAGE(L4:L31)</f>
        <v>62132200</v>
      </c>
      <c r="M32" s="25">
        <f>AVERAGE(M4:M31)</f>
        <v>0.59039285714285705</v>
      </c>
      <c r="N32" s="26"/>
    </row>
  </sheetData>
  <mergeCells count="5">
    <mergeCell ref="B2:G2"/>
    <mergeCell ref="A2"/>
    <mergeCell ref="N2"/>
    <mergeCell ref="H2:M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6" customWidth="1"/>
    <col min="4" max="4" width="12" customWidth="1"/>
    <col min="5" max="6" width="15" customWidth="1"/>
    <col min="7" max="7" width="10" customWidth="1"/>
    <col min="8" max="8" width="8" customWidth="1"/>
    <col min="9" max="9" width="11" customWidth="1"/>
  </cols>
  <sheetData>
    <row r="1" spans="1:9" ht="25" customHeight="1" x14ac:dyDescent="0.2">
      <c r="A1" s="45" t="s">
        <v>70</v>
      </c>
      <c r="B1" s="41"/>
      <c r="C1" s="41"/>
      <c r="D1" s="41"/>
      <c r="E1" s="41"/>
      <c r="F1" s="41"/>
      <c r="G1" s="41"/>
      <c r="H1" s="41"/>
      <c r="I1" s="41"/>
    </row>
    <row r="2" spans="1:9" ht="30" customHeight="1" x14ac:dyDescent="0.2">
      <c r="A2" s="2" t="s">
        <v>1</v>
      </c>
      <c r="B2" s="2" t="s">
        <v>5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10</v>
      </c>
      <c r="I2" s="2" t="s">
        <v>4</v>
      </c>
    </row>
    <row r="3" spans="1:9" x14ac:dyDescent="0.2">
      <c r="A3" s="15">
        <v>1</v>
      </c>
      <c r="B3" s="14" t="s">
        <v>12</v>
      </c>
      <c r="C3" s="15" t="s">
        <v>13</v>
      </c>
      <c r="D3" s="16">
        <v>6416</v>
      </c>
      <c r="E3" s="16">
        <v>35288000</v>
      </c>
      <c r="F3" s="16">
        <v>33363200</v>
      </c>
      <c r="G3" s="27">
        <v>445</v>
      </c>
      <c r="H3" s="17">
        <v>0.59299999999999997</v>
      </c>
      <c r="I3" s="18">
        <v>4.3299999999999998E-2</v>
      </c>
    </row>
    <row r="4" spans="1:9" x14ac:dyDescent="0.2">
      <c r="A4" s="6">
        <v>2</v>
      </c>
      <c r="B4" s="5" t="s">
        <v>15</v>
      </c>
      <c r="C4" s="6" t="s">
        <v>13</v>
      </c>
      <c r="D4" s="7">
        <v>5897</v>
      </c>
      <c r="E4" s="7">
        <v>32433500</v>
      </c>
      <c r="F4" s="7">
        <v>30664400</v>
      </c>
      <c r="G4" s="28">
        <v>445</v>
      </c>
      <c r="H4" s="8">
        <v>0.57299999999999995</v>
      </c>
      <c r="I4" s="13">
        <v>4.99E-2</v>
      </c>
    </row>
    <row r="5" spans="1:9" x14ac:dyDescent="0.2">
      <c r="A5" s="15">
        <v>3</v>
      </c>
      <c r="B5" s="14" t="s">
        <v>17</v>
      </c>
      <c r="C5" s="15" t="s">
        <v>13</v>
      </c>
      <c r="D5" s="16">
        <v>6013</v>
      </c>
      <c r="E5" s="16">
        <v>33071500</v>
      </c>
      <c r="F5" s="16">
        <v>31267600</v>
      </c>
      <c r="G5" s="27">
        <v>450</v>
      </c>
      <c r="H5" s="17">
        <v>0.61799999999999999</v>
      </c>
      <c r="I5" s="18">
        <v>5.6300000000000003E-2</v>
      </c>
    </row>
    <row r="6" spans="1:9" x14ac:dyDescent="0.2">
      <c r="A6" s="6">
        <v>4</v>
      </c>
      <c r="B6" s="5" t="s">
        <v>19</v>
      </c>
      <c r="C6" s="6" t="s">
        <v>13</v>
      </c>
      <c r="D6" s="7">
        <v>9580</v>
      </c>
      <c r="E6" s="7">
        <v>52690000</v>
      </c>
      <c r="F6" s="7">
        <v>49816000</v>
      </c>
      <c r="G6" s="28">
        <v>410</v>
      </c>
      <c r="H6" s="8">
        <v>0.57199999999999995</v>
      </c>
      <c r="I6" s="13">
        <v>5.9700000000000003E-2</v>
      </c>
    </row>
    <row r="7" spans="1:9" x14ac:dyDescent="0.2">
      <c r="A7" s="15">
        <v>5</v>
      </c>
      <c r="B7" s="14" t="s">
        <v>21</v>
      </c>
      <c r="C7" s="15" t="s">
        <v>13</v>
      </c>
      <c r="D7" s="16">
        <v>18731</v>
      </c>
      <c r="E7" s="16">
        <v>103020500</v>
      </c>
      <c r="F7" s="16">
        <v>97401200</v>
      </c>
      <c r="G7" s="27">
        <v>480</v>
      </c>
      <c r="H7" s="17">
        <v>0.59199999999999997</v>
      </c>
      <c r="I7" s="18">
        <v>6.7400000000000002E-2</v>
      </c>
    </row>
    <row r="8" spans="1:9" x14ac:dyDescent="0.2">
      <c r="A8" s="6">
        <v>6</v>
      </c>
      <c r="B8" s="5" t="s">
        <v>23</v>
      </c>
      <c r="C8" s="6" t="s">
        <v>13</v>
      </c>
      <c r="D8" s="7">
        <v>6023</v>
      </c>
      <c r="E8" s="7">
        <v>33126500</v>
      </c>
      <c r="F8" s="7">
        <v>31319600</v>
      </c>
      <c r="G8" s="28">
        <v>500</v>
      </c>
      <c r="H8" s="8">
        <v>0.60899999999999999</v>
      </c>
      <c r="I8" s="13">
        <v>7.6999999999999999E-2</v>
      </c>
    </row>
    <row r="9" spans="1:9" x14ac:dyDescent="0.2">
      <c r="A9" s="15">
        <v>7</v>
      </c>
      <c r="B9" s="14" t="s">
        <v>25</v>
      </c>
      <c r="C9" s="15" t="s">
        <v>13</v>
      </c>
      <c r="D9" s="16">
        <v>2316</v>
      </c>
      <c r="E9" s="16">
        <v>12738000</v>
      </c>
      <c r="F9" s="16">
        <v>12043200</v>
      </c>
      <c r="G9" s="27">
        <v>440</v>
      </c>
      <c r="H9" s="17">
        <v>0.60599999999999998</v>
      </c>
      <c r="I9" s="18">
        <v>9.8799999999999999E-2</v>
      </c>
    </row>
    <row r="10" spans="1:9" x14ac:dyDescent="0.2">
      <c r="A10" s="6">
        <v>8</v>
      </c>
      <c r="B10" s="5" t="s">
        <v>27</v>
      </c>
      <c r="C10" s="6" t="s">
        <v>13</v>
      </c>
      <c r="D10" s="7">
        <v>4720</v>
      </c>
      <c r="E10" s="7">
        <v>25960000</v>
      </c>
      <c r="F10" s="7">
        <v>24544000</v>
      </c>
      <c r="G10" s="28">
        <v>445</v>
      </c>
      <c r="H10" s="8">
        <v>0.59199999999999997</v>
      </c>
      <c r="I10" s="13">
        <v>0.1527</v>
      </c>
    </row>
    <row r="11" spans="1:9" x14ac:dyDescent="0.2">
      <c r="A11" s="15">
        <v>9</v>
      </c>
      <c r="B11" s="14" t="s">
        <v>29</v>
      </c>
      <c r="C11" s="15" t="s">
        <v>13</v>
      </c>
      <c r="D11" s="16">
        <v>4967</v>
      </c>
      <c r="E11" s="16">
        <v>27318500</v>
      </c>
      <c r="F11" s="16">
        <v>25828400</v>
      </c>
      <c r="G11" s="27">
        <v>455</v>
      </c>
      <c r="H11" s="17">
        <v>0.57099999999999995</v>
      </c>
      <c r="I11" s="18">
        <v>0.1792</v>
      </c>
    </row>
    <row r="12" spans="1:9" x14ac:dyDescent="0.2">
      <c r="A12" s="6">
        <v>10</v>
      </c>
      <c r="B12" s="5" t="s">
        <v>31</v>
      </c>
      <c r="C12" s="6" t="s">
        <v>13</v>
      </c>
      <c r="D12" s="7">
        <v>3176</v>
      </c>
      <c r="E12" s="7">
        <v>17468000</v>
      </c>
      <c r="F12" s="7">
        <v>16515200</v>
      </c>
      <c r="G12" s="28">
        <v>450</v>
      </c>
      <c r="H12" s="8">
        <v>0.57999999999999996</v>
      </c>
      <c r="I12" s="13">
        <v>0.1956</v>
      </c>
    </row>
    <row r="13" spans="1:9" x14ac:dyDescent="0.2">
      <c r="A13" s="15">
        <v>11</v>
      </c>
      <c r="B13" s="14" t="s">
        <v>33</v>
      </c>
      <c r="C13" s="15" t="s">
        <v>13</v>
      </c>
      <c r="D13" s="16">
        <v>33866</v>
      </c>
      <c r="E13" s="16">
        <v>186263000</v>
      </c>
      <c r="F13" s="16">
        <v>176103200</v>
      </c>
      <c r="G13" s="27">
        <v>371</v>
      </c>
      <c r="H13" s="17">
        <v>0.63400000000000001</v>
      </c>
      <c r="I13" s="18">
        <v>0.2011</v>
      </c>
    </row>
    <row r="14" spans="1:9" x14ac:dyDescent="0.2">
      <c r="A14" s="6">
        <v>12</v>
      </c>
      <c r="B14" s="5" t="s">
        <v>35</v>
      </c>
      <c r="C14" s="6" t="s">
        <v>13</v>
      </c>
      <c r="D14" s="7">
        <v>7001</v>
      </c>
      <c r="E14" s="7">
        <v>38505500</v>
      </c>
      <c r="F14" s="7">
        <v>36405200</v>
      </c>
      <c r="G14" s="28">
        <v>445</v>
      </c>
      <c r="H14" s="8">
        <v>0.60799999999999998</v>
      </c>
      <c r="I14" s="13">
        <v>0.21379999999999999</v>
      </c>
    </row>
    <row r="15" spans="1:9" x14ac:dyDescent="0.2">
      <c r="A15" s="15">
        <v>13</v>
      </c>
      <c r="B15" s="14" t="s">
        <v>37</v>
      </c>
      <c r="C15" s="15" t="s">
        <v>13</v>
      </c>
      <c r="D15" s="16">
        <v>3256</v>
      </c>
      <c r="E15" s="16">
        <v>17908000</v>
      </c>
      <c r="F15" s="16">
        <v>16931200</v>
      </c>
      <c r="G15" s="27">
        <v>485</v>
      </c>
      <c r="H15" s="17">
        <v>0.57199999999999995</v>
      </c>
      <c r="I15" s="18">
        <v>0.2162</v>
      </c>
    </row>
    <row r="16" spans="1:9" x14ac:dyDescent="0.2">
      <c r="A16" s="6">
        <v>14</v>
      </c>
      <c r="B16" s="5" t="s">
        <v>39</v>
      </c>
      <c r="C16" s="6" t="s">
        <v>13</v>
      </c>
      <c r="D16" s="7">
        <v>21674</v>
      </c>
      <c r="E16" s="7">
        <v>119207000</v>
      </c>
      <c r="F16" s="7">
        <v>112704800</v>
      </c>
      <c r="G16" s="28">
        <v>420</v>
      </c>
      <c r="H16" s="8">
        <v>0.60599999999999998</v>
      </c>
      <c r="I16" s="13">
        <v>0.21879999999999999</v>
      </c>
    </row>
    <row r="17" spans="1:9" x14ac:dyDescent="0.2">
      <c r="A17" s="15">
        <v>15</v>
      </c>
      <c r="B17" s="14" t="s">
        <v>41</v>
      </c>
      <c r="C17" s="15" t="s">
        <v>13</v>
      </c>
      <c r="D17" s="16">
        <v>8788</v>
      </c>
      <c r="E17" s="16">
        <v>48334000</v>
      </c>
      <c r="F17" s="16">
        <v>45697600</v>
      </c>
      <c r="G17" s="27">
        <v>400</v>
      </c>
      <c r="H17" s="17">
        <v>0.56799999999999995</v>
      </c>
      <c r="I17" s="18">
        <v>0.2477</v>
      </c>
    </row>
    <row r="18" spans="1:9" x14ac:dyDescent="0.2">
      <c r="A18" s="6">
        <v>16</v>
      </c>
      <c r="B18" s="5" t="s">
        <v>43</v>
      </c>
      <c r="C18" s="6" t="s">
        <v>13</v>
      </c>
      <c r="D18" s="7">
        <v>5713</v>
      </c>
      <c r="E18" s="7">
        <v>31421500</v>
      </c>
      <c r="F18" s="7">
        <v>29707600</v>
      </c>
      <c r="G18" s="28">
        <v>460</v>
      </c>
      <c r="H18" s="8">
        <v>0.58599999999999997</v>
      </c>
      <c r="I18" s="13">
        <v>0.28820000000000001</v>
      </c>
    </row>
    <row r="19" spans="1:9" x14ac:dyDescent="0.2">
      <c r="A19" s="15">
        <v>17</v>
      </c>
      <c r="B19" s="14" t="s">
        <v>45</v>
      </c>
      <c r="C19" s="15" t="s">
        <v>13</v>
      </c>
      <c r="D19" s="16">
        <v>9335</v>
      </c>
      <c r="E19" s="16">
        <v>51342500</v>
      </c>
      <c r="F19" s="16">
        <v>48542000</v>
      </c>
      <c r="G19" s="27">
        <v>490</v>
      </c>
      <c r="H19" s="17">
        <v>0.58699999999999997</v>
      </c>
      <c r="I19" s="18">
        <v>0.33110000000000001</v>
      </c>
    </row>
    <row r="20" spans="1:9" x14ac:dyDescent="0.2">
      <c r="A20" s="6">
        <v>18</v>
      </c>
      <c r="B20" s="5" t="s">
        <v>47</v>
      </c>
      <c r="C20" s="6" t="s">
        <v>13</v>
      </c>
      <c r="D20" s="7">
        <v>14473</v>
      </c>
      <c r="E20" s="7">
        <v>79601500</v>
      </c>
      <c r="F20" s="7">
        <v>75259600</v>
      </c>
      <c r="G20" s="28">
        <v>440</v>
      </c>
      <c r="H20" s="8">
        <v>0.58599999999999997</v>
      </c>
      <c r="I20" s="13">
        <v>0.33750000000000002</v>
      </c>
    </row>
    <row r="21" spans="1:9" x14ac:dyDescent="0.2">
      <c r="A21" s="15">
        <v>19</v>
      </c>
      <c r="B21" s="14" t="s">
        <v>49</v>
      </c>
      <c r="C21" s="15" t="s">
        <v>13</v>
      </c>
      <c r="D21" s="16">
        <v>8257</v>
      </c>
      <c r="E21" s="16">
        <v>45413500</v>
      </c>
      <c r="F21" s="16">
        <v>42936400</v>
      </c>
      <c r="G21" s="27">
        <v>415</v>
      </c>
      <c r="H21" s="17">
        <v>0.57799999999999996</v>
      </c>
      <c r="I21" s="18">
        <v>0.33910000000000001</v>
      </c>
    </row>
    <row r="22" spans="1:9" x14ac:dyDescent="0.2">
      <c r="A22" s="6">
        <v>20</v>
      </c>
      <c r="B22" s="5" t="s">
        <v>51</v>
      </c>
      <c r="C22" s="6" t="s">
        <v>13</v>
      </c>
      <c r="D22" s="7">
        <v>70066</v>
      </c>
      <c r="E22" s="7">
        <v>385363000</v>
      </c>
      <c r="F22" s="7">
        <v>364343200</v>
      </c>
      <c r="G22" s="28">
        <v>432</v>
      </c>
      <c r="H22" s="8">
        <v>0.66800000000000004</v>
      </c>
      <c r="I22" s="13">
        <v>0.3483</v>
      </c>
    </row>
    <row r="23" spans="1:9" x14ac:dyDescent="0.2">
      <c r="A23" s="15">
        <v>21</v>
      </c>
      <c r="B23" s="14" t="s">
        <v>53</v>
      </c>
      <c r="C23" s="15" t="s">
        <v>13</v>
      </c>
      <c r="D23" s="16">
        <v>5026</v>
      </c>
      <c r="E23" s="16">
        <v>27643000</v>
      </c>
      <c r="F23" s="16">
        <v>26135200</v>
      </c>
      <c r="G23" s="27">
        <v>415</v>
      </c>
      <c r="H23" s="17">
        <v>0.59699999999999998</v>
      </c>
      <c r="I23" s="18">
        <v>0.35049999999999998</v>
      </c>
    </row>
    <row r="24" spans="1:9" x14ac:dyDescent="0.2">
      <c r="A24" s="6">
        <v>22</v>
      </c>
      <c r="B24" s="5" t="s">
        <v>55</v>
      </c>
      <c r="C24" s="6" t="s">
        <v>13</v>
      </c>
      <c r="D24" s="7">
        <v>10699</v>
      </c>
      <c r="E24" s="7">
        <v>58844500</v>
      </c>
      <c r="F24" s="7">
        <v>55634800</v>
      </c>
      <c r="G24" s="28">
        <v>470</v>
      </c>
      <c r="H24" s="8">
        <v>0.54300000000000004</v>
      </c>
      <c r="I24" s="13">
        <v>0.42409999999999998</v>
      </c>
    </row>
    <row r="25" spans="1:9" x14ac:dyDescent="0.2">
      <c r="A25" s="15">
        <v>23</v>
      </c>
      <c r="B25" s="14" t="s">
        <v>57</v>
      </c>
      <c r="C25" s="15" t="s">
        <v>13</v>
      </c>
      <c r="D25" s="16">
        <v>14987</v>
      </c>
      <c r="E25" s="16">
        <v>82428500</v>
      </c>
      <c r="F25" s="16">
        <v>77932400</v>
      </c>
      <c r="G25" s="27">
        <v>400</v>
      </c>
      <c r="H25" s="17">
        <v>0.61699999999999999</v>
      </c>
      <c r="I25" s="18">
        <v>0.47410000000000002</v>
      </c>
    </row>
    <row r="26" spans="1:9" x14ac:dyDescent="0.2">
      <c r="A26" s="6">
        <v>24</v>
      </c>
      <c r="B26" s="5" t="s">
        <v>59</v>
      </c>
      <c r="C26" s="6" t="s">
        <v>13</v>
      </c>
      <c r="D26" s="7">
        <v>15431</v>
      </c>
      <c r="E26" s="7">
        <v>84870500</v>
      </c>
      <c r="F26" s="7">
        <v>80241200</v>
      </c>
      <c r="G26" s="28">
        <v>475</v>
      </c>
      <c r="H26" s="8">
        <v>0.63600000000000001</v>
      </c>
      <c r="I26" s="13">
        <v>0.49230000000000002</v>
      </c>
    </row>
    <row r="27" spans="1:9" x14ac:dyDescent="0.2">
      <c r="A27" s="15">
        <v>25</v>
      </c>
      <c r="B27" s="14" t="s">
        <v>61</v>
      </c>
      <c r="C27" s="15" t="s">
        <v>13</v>
      </c>
      <c r="D27" s="16">
        <v>5090</v>
      </c>
      <c r="E27" s="16">
        <v>27995000</v>
      </c>
      <c r="F27" s="16">
        <v>26468000</v>
      </c>
      <c r="G27" s="27">
        <v>465</v>
      </c>
      <c r="H27" s="17">
        <v>0.53500000000000003</v>
      </c>
      <c r="I27" s="18">
        <v>0.49659999999999999</v>
      </c>
    </row>
    <row r="28" spans="1:9" x14ac:dyDescent="0.2">
      <c r="A28" s="6">
        <v>26</v>
      </c>
      <c r="B28" s="5" t="s">
        <v>63</v>
      </c>
      <c r="C28" s="6" t="s">
        <v>13</v>
      </c>
      <c r="D28" s="7">
        <v>2584</v>
      </c>
      <c r="E28" s="7">
        <v>14212000</v>
      </c>
      <c r="F28" s="7">
        <v>13436800</v>
      </c>
      <c r="G28" s="28">
        <v>420</v>
      </c>
      <c r="H28" s="8">
        <v>0.56499999999999995</v>
      </c>
      <c r="I28" s="13">
        <v>0.51239999999999997</v>
      </c>
    </row>
    <row r="29" spans="1:9" x14ac:dyDescent="0.2">
      <c r="A29" s="15">
        <v>27</v>
      </c>
      <c r="B29" s="14" t="s">
        <v>65</v>
      </c>
      <c r="C29" s="15" t="s">
        <v>13</v>
      </c>
      <c r="D29" s="16">
        <v>1750</v>
      </c>
      <c r="E29" s="16">
        <v>9625000</v>
      </c>
      <c r="F29" s="16">
        <v>9100000</v>
      </c>
      <c r="G29" s="27">
        <v>440</v>
      </c>
      <c r="H29" s="17">
        <v>0.58099999999999996</v>
      </c>
      <c r="I29" s="18">
        <v>0.52859999999999996</v>
      </c>
    </row>
    <row r="30" spans="1:9" x14ac:dyDescent="0.2">
      <c r="A30" s="6">
        <v>28</v>
      </c>
      <c r="B30" s="5" t="s">
        <v>67</v>
      </c>
      <c r="C30" s="6" t="s">
        <v>13</v>
      </c>
      <c r="D30" s="7">
        <v>24776</v>
      </c>
      <c r="E30" s="7">
        <v>136268000</v>
      </c>
      <c r="F30" s="7">
        <v>128835200</v>
      </c>
      <c r="G30" s="28">
        <v>420</v>
      </c>
      <c r="H30" s="8">
        <v>0.61499999999999999</v>
      </c>
      <c r="I30" s="13">
        <v>1.1940999999999999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6" customWidth="1"/>
    <col min="4" max="4" width="12" customWidth="1"/>
    <col min="5" max="6" width="15" customWidth="1"/>
    <col min="7" max="7" width="10" customWidth="1"/>
    <col min="8" max="8" width="8" customWidth="1"/>
    <col min="9" max="9" width="11" customWidth="1"/>
  </cols>
  <sheetData>
    <row r="1" spans="1:9" ht="25" customHeight="1" x14ac:dyDescent="0.2">
      <c r="A1" s="46" t="s">
        <v>76</v>
      </c>
      <c r="B1" s="41"/>
      <c r="C1" s="41"/>
      <c r="D1" s="41"/>
      <c r="E1" s="41"/>
      <c r="F1" s="41"/>
      <c r="G1" s="41"/>
      <c r="H1" s="41"/>
      <c r="I1" s="41"/>
    </row>
    <row r="2" spans="1:9" ht="30" customHeight="1" x14ac:dyDescent="0.2">
      <c r="A2" s="3" t="s">
        <v>1</v>
      </c>
      <c r="B2" s="3" t="s">
        <v>5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10</v>
      </c>
      <c r="I2" s="3" t="s">
        <v>4</v>
      </c>
    </row>
    <row r="3" spans="1:9" x14ac:dyDescent="0.2">
      <c r="A3" s="15">
        <v>1</v>
      </c>
      <c r="B3" s="14" t="s">
        <v>14</v>
      </c>
      <c r="C3" s="15" t="s">
        <v>13</v>
      </c>
      <c r="D3" s="16">
        <v>6618</v>
      </c>
      <c r="E3" s="16">
        <v>36399000</v>
      </c>
      <c r="F3" s="16">
        <v>34413600</v>
      </c>
      <c r="G3" s="27">
        <v>415</v>
      </c>
      <c r="H3" s="17">
        <v>0.59399999999999997</v>
      </c>
      <c r="I3" s="18">
        <v>4.3299999999999998E-2</v>
      </c>
    </row>
    <row r="4" spans="1:9" x14ac:dyDescent="0.2">
      <c r="A4" s="10">
        <v>2</v>
      </c>
      <c r="B4" s="9" t="s">
        <v>16</v>
      </c>
      <c r="C4" s="10" t="s">
        <v>13</v>
      </c>
      <c r="D4" s="11">
        <v>6059</v>
      </c>
      <c r="E4" s="11">
        <v>33324500</v>
      </c>
      <c r="F4" s="11">
        <v>31506800</v>
      </c>
      <c r="G4" s="29">
        <v>385</v>
      </c>
      <c r="H4" s="12">
        <v>0.57199999999999995</v>
      </c>
      <c r="I4" s="30">
        <v>4.99E-2</v>
      </c>
    </row>
    <row r="5" spans="1:9" x14ac:dyDescent="0.2">
      <c r="A5" s="15">
        <v>3</v>
      </c>
      <c r="B5" s="14" t="s">
        <v>18</v>
      </c>
      <c r="C5" s="15" t="s">
        <v>13</v>
      </c>
      <c r="D5" s="16">
        <v>5816</v>
      </c>
      <c r="E5" s="16">
        <v>31988000</v>
      </c>
      <c r="F5" s="16">
        <v>30243200</v>
      </c>
      <c r="G5" s="27">
        <v>440</v>
      </c>
      <c r="H5" s="17">
        <v>0.61899999999999999</v>
      </c>
      <c r="I5" s="18">
        <v>5.6300000000000003E-2</v>
      </c>
    </row>
    <row r="6" spans="1:9" x14ac:dyDescent="0.2">
      <c r="A6" s="10">
        <v>4</v>
      </c>
      <c r="B6" s="9" t="s">
        <v>20</v>
      </c>
      <c r="C6" s="10" t="s">
        <v>13</v>
      </c>
      <c r="D6" s="11">
        <v>9380</v>
      </c>
      <c r="E6" s="11">
        <v>51590000</v>
      </c>
      <c r="F6" s="11">
        <v>48776000</v>
      </c>
      <c r="G6" s="29">
        <v>440</v>
      </c>
      <c r="H6" s="12">
        <v>0.56999999999999995</v>
      </c>
      <c r="I6" s="30">
        <v>5.9700000000000003E-2</v>
      </c>
    </row>
    <row r="7" spans="1:9" x14ac:dyDescent="0.2">
      <c r="A7" s="15">
        <v>5</v>
      </c>
      <c r="B7" s="14" t="s">
        <v>22</v>
      </c>
      <c r="C7" s="15" t="s">
        <v>13</v>
      </c>
      <c r="D7" s="16">
        <v>19561</v>
      </c>
      <c r="E7" s="16">
        <v>107585500</v>
      </c>
      <c r="F7" s="16">
        <v>101717200</v>
      </c>
      <c r="G7" s="27">
        <v>485</v>
      </c>
      <c r="H7" s="17">
        <v>0.59099999999999997</v>
      </c>
      <c r="I7" s="18">
        <v>6.7400000000000002E-2</v>
      </c>
    </row>
    <row r="8" spans="1:9" x14ac:dyDescent="0.2">
      <c r="A8" s="10">
        <v>6</v>
      </c>
      <c r="B8" s="9" t="s">
        <v>24</v>
      </c>
      <c r="C8" s="10" t="s">
        <v>13</v>
      </c>
      <c r="D8" s="11">
        <v>5719</v>
      </c>
      <c r="E8" s="11">
        <v>31454500</v>
      </c>
      <c r="F8" s="11">
        <v>29738800</v>
      </c>
      <c r="G8" s="29">
        <v>450</v>
      </c>
      <c r="H8" s="12">
        <v>0.61</v>
      </c>
      <c r="I8" s="30">
        <v>7.6999999999999999E-2</v>
      </c>
    </row>
    <row r="9" spans="1:9" x14ac:dyDescent="0.2">
      <c r="A9" s="15">
        <v>7</v>
      </c>
      <c r="B9" s="14" t="s">
        <v>26</v>
      </c>
      <c r="C9" s="15" t="s">
        <v>13</v>
      </c>
      <c r="D9" s="16">
        <v>2365</v>
      </c>
      <c r="E9" s="16">
        <v>13007500</v>
      </c>
      <c r="F9" s="16">
        <v>12298000</v>
      </c>
      <c r="G9" s="27">
        <v>485</v>
      </c>
      <c r="H9" s="17">
        <v>0.60299999999999998</v>
      </c>
      <c r="I9" s="18">
        <v>9.8799999999999999E-2</v>
      </c>
    </row>
    <row r="10" spans="1:9" x14ac:dyDescent="0.2">
      <c r="A10" s="10">
        <v>8</v>
      </c>
      <c r="B10" s="9" t="s">
        <v>28</v>
      </c>
      <c r="C10" s="10" t="s">
        <v>13</v>
      </c>
      <c r="D10" s="11">
        <v>4429</v>
      </c>
      <c r="E10" s="11">
        <v>24359500</v>
      </c>
      <c r="F10" s="11">
        <v>23030800</v>
      </c>
      <c r="G10" s="29">
        <v>510</v>
      </c>
      <c r="H10" s="12">
        <v>0.58699999999999997</v>
      </c>
      <c r="I10" s="30">
        <v>0.1527</v>
      </c>
    </row>
    <row r="11" spans="1:9" x14ac:dyDescent="0.2">
      <c r="A11" s="15">
        <v>9</v>
      </c>
      <c r="B11" s="14" t="s">
        <v>30</v>
      </c>
      <c r="C11" s="15" t="s">
        <v>13</v>
      </c>
      <c r="D11" s="16">
        <v>4966</v>
      </c>
      <c r="E11" s="16">
        <v>27313000</v>
      </c>
      <c r="F11" s="16">
        <v>25823200</v>
      </c>
      <c r="G11" s="27">
        <v>460</v>
      </c>
      <c r="H11" s="17">
        <v>0.56499999999999995</v>
      </c>
      <c r="I11" s="18">
        <v>0.1792</v>
      </c>
    </row>
    <row r="12" spans="1:9" x14ac:dyDescent="0.2">
      <c r="A12" s="10">
        <v>10</v>
      </c>
      <c r="B12" s="9" t="s">
        <v>32</v>
      </c>
      <c r="C12" s="10" t="s">
        <v>13</v>
      </c>
      <c r="D12" s="11">
        <v>3056</v>
      </c>
      <c r="E12" s="11">
        <v>16808000</v>
      </c>
      <c r="F12" s="11">
        <v>15891200</v>
      </c>
      <c r="G12" s="29">
        <v>485</v>
      </c>
      <c r="H12" s="12">
        <v>0.58599999999999997</v>
      </c>
      <c r="I12" s="30">
        <v>0.1956</v>
      </c>
    </row>
    <row r="13" spans="1:9" x14ac:dyDescent="0.2">
      <c r="A13" s="15">
        <v>11</v>
      </c>
      <c r="B13" s="14" t="s">
        <v>34</v>
      </c>
      <c r="C13" s="15" t="s">
        <v>13</v>
      </c>
      <c r="D13" s="16">
        <v>32288</v>
      </c>
      <c r="E13" s="16">
        <v>177584000</v>
      </c>
      <c r="F13" s="16">
        <v>167897600</v>
      </c>
      <c r="G13" s="27">
        <v>411</v>
      </c>
      <c r="H13" s="17">
        <v>0.64</v>
      </c>
      <c r="I13" s="18">
        <v>0.2011</v>
      </c>
    </row>
    <row r="14" spans="1:9" x14ac:dyDescent="0.2">
      <c r="A14" s="10">
        <v>12</v>
      </c>
      <c r="B14" s="9" t="s">
        <v>36</v>
      </c>
      <c r="C14" s="10" t="s">
        <v>13</v>
      </c>
      <c r="D14" s="11">
        <v>7728</v>
      </c>
      <c r="E14" s="11">
        <v>42504000</v>
      </c>
      <c r="F14" s="11">
        <v>40185600</v>
      </c>
      <c r="G14" s="29">
        <v>400</v>
      </c>
      <c r="H14" s="12">
        <v>0.60299999999999998</v>
      </c>
      <c r="I14" s="30">
        <v>0.21379999999999999</v>
      </c>
    </row>
    <row r="15" spans="1:9" x14ac:dyDescent="0.2">
      <c r="A15" s="15">
        <v>13</v>
      </c>
      <c r="B15" s="14" t="s">
        <v>38</v>
      </c>
      <c r="C15" s="15" t="s">
        <v>13</v>
      </c>
      <c r="D15" s="16">
        <v>3323</v>
      </c>
      <c r="E15" s="16">
        <v>18276500</v>
      </c>
      <c r="F15" s="16">
        <v>17279600</v>
      </c>
      <c r="G15" s="27">
        <v>445</v>
      </c>
      <c r="H15" s="17">
        <v>0.56499999999999995</v>
      </c>
      <c r="I15" s="18">
        <v>0.2162</v>
      </c>
    </row>
    <row r="16" spans="1:9" x14ac:dyDescent="0.2">
      <c r="A16" s="10">
        <v>14</v>
      </c>
      <c r="B16" s="9" t="s">
        <v>40</v>
      </c>
      <c r="C16" s="10" t="s">
        <v>13</v>
      </c>
      <c r="D16" s="11">
        <v>18500</v>
      </c>
      <c r="E16" s="11">
        <v>101750000</v>
      </c>
      <c r="F16" s="11">
        <v>96200000</v>
      </c>
      <c r="G16" s="29">
        <v>480</v>
      </c>
      <c r="H16" s="12">
        <v>0.60799999999999998</v>
      </c>
      <c r="I16" s="30">
        <v>0.21879999999999999</v>
      </c>
    </row>
    <row r="17" spans="1:9" x14ac:dyDescent="0.2">
      <c r="A17" s="15">
        <v>15</v>
      </c>
      <c r="B17" s="14" t="s">
        <v>42</v>
      </c>
      <c r="C17" s="15" t="s">
        <v>13</v>
      </c>
      <c r="D17" s="16">
        <v>7394</v>
      </c>
      <c r="E17" s="16">
        <v>40667000</v>
      </c>
      <c r="F17" s="16">
        <v>38448800</v>
      </c>
      <c r="G17" s="27">
        <v>440</v>
      </c>
      <c r="H17" s="17">
        <v>0.56200000000000006</v>
      </c>
      <c r="I17" s="18">
        <v>0.2477</v>
      </c>
    </row>
    <row r="18" spans="1:9" x14ac:dyDescent="0.2">
      <c r="A18" s="10">
        <v>16</v>
      </c>
      <c r="B18" s="9" t="s">
        <v>44</v>
      </c>
      <c r="C18" s="10" t="s">
        <v>13</v>
      </c>
      <c r="D18" s="11">
        <v>6272</v>
      </c>
      <c r="E18" s="11">
        <v>34496000</v>
      </c>
      <c r="F18" s="11">
        <v>32614400</v>
      </c>
      <c r="G18" s="29">
        <v>445</v>
      </c>
      <c r="H18" s="12">
        <v>0.57799999999999996</v>
      </c>
      <c r="I18" s="30">
        <v>0.28820000000000001</v>
      </c>
    </row>
    <row r="19" spans="1:9" x14ac:dyDescent="0.2">
      <c r="A19" s="15">
        <v>17</v>
      </c>
      <c r="B19" s="14" t="s">
        <v>46</v>
      </c>
      <c r="C19" s="15" t="s">
        <v>13</v>
      </c>
      <c r="D19" s="16">
        <v>12172</v>
      </c>
      <c r="E19" s="16">
        <v>66946000</v>
      </c>
      <c r="F19" s="16">
        <v>63294400</v>
      </c>
      <c r="G19" s="27">
        <v>395</v>
      </c>
      <c r="H19" s="17">
        <v>0.58699999999999997</v>
      </c>
      <c r="I19" s="18">
        <v>0.33110000000000001</v>
      </c>
    </row>
    <row r="20" spans="1:9" x14ac:dyDescent="0.2">
      <c r="A20" s="10">
        <v>18</v>
      </c>
      <c r="B20" s="9" t="s">
        <v>48</v>
      </c>
      <c r="C20" s="10" t="s">
        <v>13</v>
      </c>
      <c r="D20" s="11">
        <v>14095</v>
      </c>
      <c r="E20" s="11">
        <v>77522500</v>
      </c>
      <c r="F20" s="11">
        <v>73294000</v>
      </c>
      <c r="G20" s="29">
        <v>415</v>
      </c>
      <c r="H20" s="12">
        <v>0.59699999999999998</v>
      </c>
      <c r="I20" s="30">
        <v>0.33750000000000002</v>
      </c>
    </row>
    <row r="21" spans="1:9" x14ac:dyDescent="0.2">
      <c r="A21" s="15">
        <v>19</v>
      </c>
      <c r="B21" s="14" t="s">
        <v>50</v>
      </c>
      <c r="C21" s="15" t="s">
        <v>13</v>
      </c>
      <c r="D21" s="16">
        <v>10433</v>
      </c>
      <c r="E21" s="16">
        <v>57381500</v>
      </c>
      <c r="F21" s="16">
        <v>54251600</v>
      </c>
      <c r="G21" s="27">
        <v>510</v>
      </c>
      <c r="H21" s="17">
        <v>0.57399999999999995</v>
      </c>
      <c r="I21" s="18">
        <v>0.33910000000000001</v>
      </c>
    </row>
    <row r="22" spans="1:9" x14ac:dyDescent="0.2">
      <c r="A22" s="10">
        <v>20</v>
      </c>
      <c r="B22" s="9" t="s">
        <v>52</v>
      </c>
      <c r="C22" s="10" t="s">
        <v>13</v>
      </c>
      <c r="D22" s="11">
        <v>66585</v>
      </c>
      <c r="E22" s="11">
        <v>366217500</v>
      </c>
      <c r="F22" s="11">
        <v>346242000</v>
      </c>
      <c r="G22" s="29">
        <v>476</v>
      </c>
      <c r="H22" s="12">
        <v>0.67900000000000005</v>
      </c>
      <c r="I22" s="30">
        <v>0.3483</v>
      </c>
    </row>
    <row r="23" spans="1:9" x14ac:dyDescent="0.2">
      <c r="A23" s="15">
        <v>21</v>
      </c>
      <c r="B23" s="14" t="s">
        <v>54</v>
      </c>
      <c r="C23" s="15" t="s">
        <v>13</v>
      </c>
      <c r="D23" s="16">
        <v>3851</v>
      </c>
      <c r="E23" s="16">
        <v>21180500</v>
      </c>
      <c r="F23" s="16">
        <v>20025200</v>
      </c>
      <c r="G23" s="27">
        <v>440</v>
      </c>
      <c r="H23" s="17">
        <v>0.59899999999999998</v>
      </c>
      <c r="I23" s="18">
        <v>0.35049999999999998</v>
      </c>
    </row>
    <row r="24" spans="1:9" x14ac:dyDescent="0.2">
      <c r="A24" s="10">
        <v>22</v>
      </c>
      <c r="B24" s="9" t="s">
        <v>56</v>
      </c>
      <c r="C24" s="10" t="s">
        <v>13</v>
      </c>
      <c r="D24" s="11">
        <v>10497</v>
      </c>
      <c r="E24" s="11">
        <v>57733500</v>
      </c>
      <c r="F24" s="11">
        <v>54584400</v>
      </c>
      <c r="G24" s="29">
        <v>410</v>
      </c>
      <c r="H24" s="12">
        <v>0.55700000000000005</v>
      </c>
      <c r="I24" s="30">
        <v>0.42409999999999998</v>
      </c>
    </row>
    <row r="25" spans="1:9" x14ac:dyDescent="0.2">
      <c r="A25" s="15">
        <v>23</v>
      </c>
      <c r="B25" s="14" t="s">
        <v>58</v>
      </c>
      <c r="C25" s="15" t="s">
        <v>13</v>
      </c>
      <c r="D25" s="16">
        <v>10315</v>
      </c>
      <c r="E25" s="16">
        <v>56732500</v>
      </c>
      <c r="F25" s="16">
        <v>53638000</v>
      </c>
      <c r="G25" s="27">
        <v>490</v>
      </c>
      <c r="H25" s="17">
        <v>0.60899999999999999</v>
      </c>
      <c r="I25" s="18">
        <v>0.47410000000000002</v>
      </c>
    </row>
    <row r="26" spans="1:9" x14ac:dyDescent="0.2">
      <c r="A26" s="10">
        <v>24</v>
      </c>
      <c r="B26" s="9" t="s">
        <v>60</v>
      </c>
      <c r="C26" s="10" t="s">
        <v>13</v>
      </c>
      <c r="D26" s="11">
        <v>17088</v>
      </c>
      <c r="E26" s="11">
        <v>93984000</v>
      </c>
      <c r="F26" s="11">
        <v>88857600</v>
      </c>
      <c r="G26" s="29">
        <v>395</v>
      </c>
      <c r="H26" s="12">
        <v>0.621</v>
      </c>
      <c r="I26" s="30">
        <v>0.49230000000000002</v>
      </c>
    </row>
    <row r="27" spans="1:9" x14ac:dyDescent="0.2">
      <c r="A27" s="15">
        <v>25</v>
      </c>
      <c r="B27" s="14" t="s">
        <v>62</v>
      </c>
      <c r="C27" s="15" t="s">
        <v>13</v>
      </c>
      <c r="D27" s="16">
        <v>7251</v>
      </c>
      <c r="E27" s="16">
        <v>39880500</v>
      </c>
      <c r="F27" s="16">
        <v>37705200</v>
      </c>
      <c r="G27" s="27">
        <v>450</v>
      </c>
      <c r="H27" s="17">
        <v>0.53</v>
      </c>
      <c r="I27" s="18">
        <v>0.49659999999999999</v>
      </c>
    </row>
    <row r="28" spans="1:9" x14ac:dyDescent="0.2">
      <c r="A28" s="10">
        <v>26</v>
      </c>
      <c r="B28" s="9" t="s">
        <v>64</v>
      </c>
      <c r="C28" s="10" t="s">
        <v>13</v>
      </c>
      <c r="D28" s="11">
        <v>2624</v>
      </c>
      <c r="E28" s="11">
        <v>14432000</v>
      </c>
      <c r="F28" s="11">
        <v>13644800</v>
      </c>
      <c r="G28" s="29">
        <v>415</v>
      </c>
      <c r="H28" s="12">
        <v>0.54800000000000004</v>
      </c>
      <c r="I28" s="30">
        <v>0.51239999999999997</v>
      </c>
    </row>
    <row r="29" spans="1:9" x14ac:dyDescent="0.2">
      <c r="A29" s="15">
        <v>27</v>
      </c>
      <c r="B29" s="14" t="s">
        <v>66</v>
      </c>
      <c r="C29" s="15" t="s">
        <v>13</v>
      </c>
      <c r="D29" s="16">
        <v>2328</v>
      </c>
      <c r="E29" s="16">
        <v>12804000</v>
      </c>
      <c r="F29" s="16">
        <v>12105600</v>
      </c>
      <c r="G29" s="27">
        <v>500</v>
      </c>
      <c r="H29" s="17">
        <v>0.59699999999999998</v>
      </c>
      <c r="I29" s="18">
        <v>0.52859999999999996</v>
      </c>
    </row>
    <row r="30" spans="1:9" x14ac:dyDescent="0.2">
      <c r="A30" s="10">
        <v>28</v>
      </c>
      <c r="B30" s="9" t="s">
        <v>68</v>
      </c>
      <c r="C30" s="10" t="s">
        <v>13</v>
      </c>
      <c r="D30" s="11">
        <v>33845</v>
      </c>
      <c r="E30" s="11">
        <v>186147500</v>
      </c>
      <c r="F30" s="11">
        <v>175994000</v>
      </c>
      <c r="G30" s="29">
        <v>400</v>
      </c>
      <c r="H30" s="12">
        <v>0.57999999999999996</v>
      </c>
      <c r="I30" s="30">
        <v>1.1940999999999999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4" width="14" customWidth="1"/>
    <col min="5" max="5" width="12" customWidth="1"/>
    <col min="6" max="6" width="8" customWidth="1"/>
    <col min="7" max="7" width="16" customWidth="1"/>
  </cols>
  <sheetData>
    <row r="1" spans="1:7" ht="25" customHeight="1" x14ac:dyDescent="0.2">
      <c r="A1" s="47" t="s">
        <v>77</v>
      </c>
      <c r="B1" s="41"/>
      <c r="C1" s="41"/>
      <c r="D1" s="41"/>
      <c r="E1" s="41"/>
      <c r="F1" s="41"/>
      <c r="G1" s="41"/>
    </row>
    <row r="2" spans="1:7" ht="30" customHeight="1" x14ac:dyDescent="0.2">
      <c r="A2" s="31" t="s">
        <v>5</v>
      </c>
      <c r="B2" s="31" t="s">
        <v>72</v>
      </c>
      <c r="C2" s="31" t="s">
        <v>78</v>
      </c>
      <c r="D2" s="31" t="s">
        <v>79</v>
      </c>
      <c r="E2" s="31" t="s">
        <v>80</v>
      </c>
      <c r="F2" s="31" t="s">
        <v>10</v>
      </c>
      <c r="G2" s="31" t="s">
        <v>71</v>
      </c>
    </row>
    <row r="3" spans="1:7" x14ac:dyDescent="0.2">
      <c r="A3" s="14" t="s">
        <v>81</v>
      </c>
      <c r="B3" s="16">
        <v>26655</v>
      </c>
      <c r="C3" s="16">
        <v>146602500</v>
      </c>
      <c r="D3" s="16">
        <v>138606000</v>
      </c>
      <c r="E3" s="27">
        <v>103</v>
      </c>
      <c r="F3" s="17">
        <v>0.58199999999999996</v>
      </c>
      <c r="G3" s="15" t="s">
        <v>82</v>
      </c>
    </row>
    <row r="4" spans="1:7" x14ac:dyDescent="0.2">
      <c r="A4" s="32" t="s">
        <v>83</v>
      </c>
      <c r="B4" s="33">
        <v>21823</v>
      </c>
      <c r="C4" s="33">
        <v>120026500</v>
      </c>
      <c r="D4" s="33">
        <v>113479600</v>
      </c>
      <c r="E4" s="34">
        <v>140</v>
      </c>
      <c r="F4" s="35">
        <v>0.57599999999999996</v>
      </c>
      <c r="G4" s="36" t="s">
        <v>84</v>
      </c>
    </row>
    <row r="5" spans="1:7" x14ac:dyDescent="0.2">
      <c r="A5" s="14" t="s">
        <v>85</v>
      </c>
      <c r="B5" s="16">
        <v>14140</v>
      </c>
      <c r="C5" s="16">
        <v>77770000</v>
      </c>
      <c r="D5" s="16">
        <v>73528000</v>
      </c>
      <c r="E5" s="27">
        <v>110</v>
      </c>
      <c r="F5" s="17">
        <v>0.59499999999999997</v>
      </c>
      <c r="G5" s="15" t="s">
        <v>82</v>
      </c>
    </row>
    <row r="6" spans="1:7" x14ac:dyDescent="0.2">
      <c r="A6" s="32" t="s">
        <v>86</v>
      </c>
      <c r="B6" s="33">
        <v>5806</v>
      </c>
      <c r="C6" s="33">
        <v>31933000</v>
      </c>
      <c r="D6" s="33">
        <v>30191200</v>
      </c>
      <c r="E6" s="34">
        <v>185</v>
      </c>
      <c r="F6" s="35">
        <v>0.57799999999999996</v>
      </c>
      <c r="G6" s="36" t="s">
        <v>84</v>
      </c>
    </row>
    <row r="7" spans="1:7" x14ac:dyDescent="0.2">
      <c r="A7" s="14" t="s">
        <v>87</v>
      </c>
      <c r="B7" s="16">
        <v>3146</v>
      </c>
      <c r="C7" s="16">
        <v>17303000</v>
      </c>
      <c r="D7" s="16">
        <v>16359200</v>
      </c>
      <c r="E7" s="27">
        <v>165</v>
      </c>
      <c r="F7" s="17">
        <v>0.54800000000000004</v>
      </c>
      <c r="G7" s="15" t="s">
        <v>84</v>
      </c>
    </row>
    <row r="8" spans="1:7" x14ac:dyDescent="0.2">
      <c r="A8" s="32" t="s">
        <v>88</v>
      </c>
      <c r="B8" s="33">
        <v>23065</v>
      </c>
      <c r="C8" s="33">
        <v>126857500</v>
      </c>
      <c r="D8" s="33">
        <v>119938000</v>
      </c>
      <c r="E8" s="34">
        <v>45</v>
      </c>
      <c r="F8" s="35">
        <v>0.58199999999999996</v>
      </c>
      <c r="G8" s="36" t="s">
        <v>82</v>
      </c>
    </row>
    <row r="9" spans="1:7" x14ac:dyDescent="0.2">
      <c r="A9" s="14" t="s">
        <v>89</v>
      </c>
      <c r="B9" s="16">
        <v>2328</v>
      </c>
      <c r="C9" s="16">
        <v>12804000</v>
      </c>
      <c r="D9" s="16">
        <v>12105600</v>
      </c>
      <c r="E9" s="27">
        <v>320</v>
      </c>
      <c r="F9" s="17">
        <v>0.60599999999999998</v>
      </c>
      <c r="G9" s="15" t="s">
        <v>90</v>
      </c>
    </row>
    <row r="10" spans="1:7" x14ac:dyDescent="0.2">
      <c r="A10" s="32" t="s">
        <v>91</v>
      </c>
      <c r="B10" s="33">
        <v>12482</v>
      </c>
      <c r="C10" s="33">
        <v>68651000</v>
      </c>
      <c r="D10" s="33">
        <v>64906400</v>
      </c>
      <c r="E10" s="34">
        <v>155</v>
      </c>
      <c r="F10" s="35">
        <v>0.54800000000000004</v>
      </c>
      <c r="G10" s="36" t="s">
        <v>84</v>
      </c>
    </row>
    <row r="11" spans="1:7" x14ac:dyDescent="0.2">
      <c r="A11" s="14" t="s">
        <v>92</v>
      </c>
      <c r="B11" s="16">
        <v>17360</v>
      </c>
      <c r="C11" s="16">
        <v>95480000</v>
      </c>
      <c r="D11" s="16">
        <v>90272000</v>
      </c>
      <c r="E11" s="27">
        <v>165</v>
      </c>
      <c r="F11" s="17">
        <v>0.56699999999999995</v>
      </c>
      <c r="G11" s="15" t="s">
        <v>84</v>
      </c>
    </row>
    <row r="12" spans="1:7" x14ac:dyDescent="0.2">
      <c r="A12" s="32" t="s">
        <v>93</v>
      </c>
      <c r="B12" s="33">
        <v>16991</v>
      </c>
      <c r="C12" s="33">
        <v>93450500</v>
      </c>
      <c r="D12" s="33">
        <v>88353200</v>
      </c>
      <c r="E12" s="34">
        <v>95</v>
      </c>
      <c r="F12" s="35">
        <v>0.54900000000000004</v>
      </c>
      <c r="G12" s="36" t="s">
        <v>82</v>
      </c>
    </row>
    <row r="13" spans="1:7" x14ac:dyDescent="0.2">
      <c r="A13" s="14" t="s">
        <v>94</v>
      </c>
      <c r="B13" s="16">
        <v>23031</v>
      </c>
      <c r="C13" s="16">
        <v>126670500</v>
      </c>
      <c r="D13" s="16">
        <v>119761200</v>
      </c>
      <c r="E13" s="27">
        <v>130</v>
      </c>
      <c r="F13" s="17">
        <v>0.59399999999999997</v>
      </c>
      <c r="G13" s="15" t="s">
        <v>82</v>
      </c>
    </row>
    <row r="14" spans="1:7" x14ac:dyDescent="0.2">
      <c r="A14" s="32" t="s">
        <v>95</v>
      </c>
      <c r="B14" s="33">
        <v>2027</v>
      </c>
      <c r="C14" s="33">
        <v>11148500</v>
      </c>
      <c r="D14" s="33">
        <v>10540400</v>
      </c>
      <c r="E14" s="34">
        <v>243.8</v>
      </c>
      <c r="F14" s="35">
        <v>0.56200000000000006</v>
      </c>
      <c r="G14" s="36" t="s">
        <v>90</v>
      </c>
    </row>
    <row r="15" spans="1:7" x14ac:dyDescent="0.2">
      <c r="A15" s="14" t="s">
        <v>96</v>
      </c>
      <c r="B15" s="16">
        <v>7434</v>
      </c>
      <c r="C15" s="16">
        <v>40887000</v>
      </c>
      <c r="D15" s="16">
        <v>38656800</v>
      </c>
      <c r="E15" s="27">
        <v>155</v>
      </c>
      <c r="F15" s="17">
        <v>0.60799999999999998</v>
      </c>
      <c r="G15" s="15" t="s">
        <v>84</v>
      </c>
    </row>
    <row r="16" spans="1:7" x14ac:dyDescent="0.2">
      <c r="A16" s="32" t="s">
        <v>97</v>
      </c>
      <c r="B16" s="33">
        <v>19142</v>
      </c>
      <c r="C16" s="33">
        <v>105281000</v>
      </c>
      <c r="D16" s="33">
        <v>99538400</v>
      </c>
      <c r="E16" s="34">
        <v>160</v>
      </c>
      <c r="F16" s="35">
        <v>0.54800000000000004</v>
      </c>
      <c r="G16" s="36" t="s">
        <v>84</v>
      </c>
    </row>
    <row r="17" spans="1:7" x14ac:dyDescent="0.2">
      <c r="A17" s="14" t="s">
        <v>98</v>
      </c>
      <c r="B17" s="16">
        <v>4384</v>
      </c>
      <c r="C17" s="16">
        <v>24112000</v>
      </c>
      <c r="D17" s="16">
        <v>22796800</v>
      </c>
      <c r="E17" s="27">
        <v>235</v>
      </c>
      <c r="F17" s="17">
        <v>0.60899999999999999</v>
      </c>
      <c r="G17" s="15" t="s">
        <v>90</v>
      </c>
    </row>
    <row r="18" spans="1:7" x14ac:dyDescent="0.2">
      <c r="A18" s="32" t="s">
        <v>99</v>
      </c>
      <c r="B18" s="33">
        <v>24134</v>
      </c>
      <c r="C18" s="33">
        <v>132737000</v>
      </c>
      <c r="D18" s="33">
        <v>125496800</v>
      </c>
      <c r="E18" s="34">
        <v>141</v>
      </c>
      <c r="F18" s="35">
        <v>0.56799999999999995</v>
      </c>
      <c r="G18" s="36" t="s">
        <v>84</v>
      </c>
    </row>
    <row r="19" spans="1:7" x14ac:dyDescent="0.2">
      <c r="A19" s="14" t="s">
        <v>100</v>
      </c>
      <c r="B19" s="16">
        <v>5010</v>
      </c>
      <c r="C19" s="16">
        <v>27555000</v>
      </c>
      <c r="D19" s="16">
        <v>26052000</v>
      </c>
      <c r="E19" s="27">
        <v>243.8</v>
      </c>
      <c r="F19" s="17">
        <v>0.55800000000000005</v>
      </c>
      <c r="G19" s="15" t="s">
        <v>90</v>
      </c>
    </row>
    <row r="20" spans="1:7" x14ac:dyDescent="0.2">
      <c r="A20" s="32" t="s">
        <v>101</v>
      </c>
      <c r="B20" s="33">
        <v>13024</v>
      </c>
      <c r="C20" s="33">
        <v>71632000</v>
      </c>
      <c r="D20" s="33">
        <v>67724800</v>
      </c>
      <c r="E20" s="34">
        <v>190</v>
      </c>
      <c r="F20" s="35">
        <v>0.56200000000000006</v>
      </c>
      <c r="G20" s="36" t="s">
        <v>84</v>
      </c>
    </row>
    <row r="21" spans="1:7" x14ac:dyDescent="0.2">
      <c r="A21" s="14" t="s">
        <v>102</v>
      </c>
      <c r="B21" s="16">
        <v>8247</v>
      </c>
      <c r="C21" s="16">
        <v>45358500</v>
      </c>
      <c r="D21" s="16">
        <v>42884400</v>
      </c>
      <c r="E21" s="27">
        <v>150</v>
      </c>
      <c r="F21" s="17">
        <v>0.56699999999999995</v>
      </c>
      <c r="G21" s="15" t="s">
        <v>84</v>
      </c>
    </row>
    <row r="22" spans="1:7" x14ac:dyDescent="0.2">
      <c r="A22" s="32" t="s">
        <v>103</v>
      </c>
      <c r="B22" s="33">
        <v>6123</v>
      </c>
      <c r="C22" s="33">
        <v>33676500</v>
      </c>
      <c r="D22" s="33">
        <v>31839600</v>
      </c>
      <c r="E22" s="34">
        <v>185</v>
      </c>
      <c r="F22" s="35">
        <v>0.57199999999999995</v>
      </c>
      <c r="G22" s="36" t="s">
        <v>84</v>
      </c>
    </row>
    <row r="23" spans="1:7" x14ac:dyDescent="0.2">
      <c r="A23" s="14" t="s">
        <v>104</v>
      </c>
      <c r="B23" s="16">
        <v>83862</v>
      </c>
      <c r="C23" s="16">
        <v>320000000</v>
      </c>
      <c r="D23" s="16">
        <v>300000000</v>
      </c>
      <c r="E23" s="27">
        <v>7</v>
      </c>
      <c r="F23" s="17">
        <v>0.64900000000000002</v>
      </c>
      <c r="G23" s="15" t="s">
        <v>82</v>
      </c>
    </row>
    <row r="24" spans="1:7" x14ac:dyDescent="0.2">
      <c r="A24" s="32" t="s">
        <v>105</v>
      </c>
      <c r="B24" s="33">
        <v>9741</v>
      </c>
      <c r="C24" s="33">
        <v>53575500</v>
      </c>
      <c r="D24" s="33">
        <v>50653200</v>
      </c>
      <c r="E24" s="34">
        <v>90</v>
      </c>
      <c r="F24" s="35">
        <v>0.58099999999999996</v>
      </c>
      <c r="G24" s="36" t="s">
        <v>82</v>
      </c>
    </row>
    <row r="25" spans="1:7" x14ac:dyDescent="0.2">
      <c r="A25" s="14" t="s">
        <v>106</v>
      </c>
      <c r="B25" s="16">
        <v>16710</v>
      </c>
      <c r="C25" s="16">
        <v>91905000</v>
      </c>
      <c r="D25" s="16">
        <v>86892000</v>
      </c>
      <c r="E25" s="27">
        <v>120</v>
      </c>
      <c r="F25" s="17">
        <v>0.59199999999999997</v>
      </c>
      <c r="G25" s="15" t="s">
        <v>82</v>
      </c>
    </row>
    <row r="26" spans="1:7" x14ac:dyDescent="0.2">
      <c r="A26" s="32" t="s">
        <v>107</v>
      </c>
      <c r="B26" s="33">
        <v>3677</v>
      </c>
      <c r="C26" s="33">
        <v>20223500</v>
      </c>
      <c r="D26" s="33">
        <v>19120400</v>
      </c>
      <c r="E26" s="34">
        <v>243.8</v>
      </c>
      <c r="F26" s="35">
        <v>0.55800000000000005</v>
      </c>
      <c r="G26" s="36" t="s">
        <v>90</v>
      </c>
    </row>
    <row r="27" spans="1:7" x14ac:dyDescent="0.2">
      <c r="A27" s="14" t="s">
        <v>108</v>
      </c>
      <c r="B27" s="16">
        <v>5246</v>
      </c>
      <c r="C27" s="16">
        <v>28853000</v>
      </c>
      <c r="D27" s="16">
        <v>27279200</v>
      </c>
      <c r="E27" s="27">
        <v>243.8</v>
      </c>
      <c r="F27" s="17">
        <v>0.59899999999999998</v>
      </c>
      <c r="G27" s="15" t="s">
        <v>90</v>
      </c>
    </row>
    <row r="28" spans="1:7" x14ac:dyDescent="0.2">
      <c r="A28" s="32" t="s">
        <v>109</v>
      </c>
      <c r="B28" s="33">
        <v>6592</v>
      </c>
      <c r="C28" s="33">
        <v>36256000</v>
      </c>
      <c r="D28" s="33">
        <v>34278400</v>
      </c>
      <c r="E28" s="34">
        <v>170</v>
      </c>
      <c r="F28" s="35">
        <v>0.64900000000000002</v>
      </c>
      <c r="G28" s="36" t="s">
        <v>84</v>
      </c>
    </row>
    <row r="29" spans="1:7" x14ac:dyDescent="0.2">
      <c r="A29" s="14" t="s">
        <v>110</v>
      </c>
      <c r="B29" s="16">
        <v>18216</v>
      </c>
      <c r="C29" s="16">
        <v>100188000</v>
      </c>
      <c r="D29" s="16">
        <v>94723200</v>
      </c>
      <c r="E29" s="27">
        <v>165</v>
      </c>
      <c r="F29" s="17">
        <v>0.58799999999999997</v>
      </c>
      <c r="G29" s="15" t="s">
        <v>84</v>
      </c>
    </row>
    <row r="30" spans="1:7" x14ac:dyDescent="0.2">
      <c r="A30" s="32" t="s">
        <v>111</v>
      </c>
      <c r="B30" s="33">
        <v>4185</v>
      </c>
      <c r="C30" s="33">
        <v>23017500</v>
      </c>
      <c r="D30" s="33">
        <v>21762000</v>
      </c>
      <c r="E30" s="34">
        <v>145</v>
      </c>
      <c r="F30" s="35">
        <v>0.55800000000000005</v>
      </c>
      <c r="G30" s="36" t="s">
        <v>84</v>
      </c>
    </row>
    <row r="31" spans="1:7" x14ac:dyDescent="0.2">
      <c r="A31" s="14" t="s">
        <v>112</v>
      </c>
      <c r="B31" s="16">
        <v>21942</v>
      </c>
      <c r="C31" s="16">
        <v>120681000</v>
      </c>
      <c r="D31" s="16">
        <v>114098400</v>
      </c>
      <c r="E31" s="27">
        <v>50</v>
      </c>
      <c r="F31" s="17">
        <v>0.60199999999999998</v>
      </c>
      <c r="G31" s="15" t="s">
        <v>82</v>
      </c>
    </row>
    <row r="32" spans="1:7" x14ac:dyDescent="0.2">
      <c r="A32" s="32" t="s">
        <v>113</v>
      </c>
      <c r="B32" s="33">
        <v>5537</v>
      </c>
      <c r="C32" s="33">
        <v>30453500</v>
      </c>
      <c r="D32" s="33">
        <v>28792400</v>
      </c>
      <c r="E32" s="34">
        <v>190</v>
      </c>
      <c r="F32" s="35">
        <v>0.61099999999999999</v>
      </c>
      <c r="G32" s="36" t="s">
        <v>84</v>
      </c>
    </row>
    <row r="33" spans="1:7" x14ac:dyDescent="0.2">
      <c r="A33" s="14" t="s">
        <v>114</v>
      </c>
      <c r="B33" s="16">
        <v>70734</v>
      </c>
      <c r="C33" s="16">
        <v>389037000</v>
      </c>
      <c r="D33" s="16">
        <v>367816800</v>
      </c>
      <c r="E33" s="27">
        <v>18</v>
      </c>
      <c r="F33" s="17">
        <v>0.748</v>
      </c>
      <c r="G33" s="15" t="s">
        <v>82</v>
      </c>
    </row>
    <row r="34" spans="1:7" x14ac:dyDescent="0.2">
      <c r="A34" s="32" t="s">
        <v>115</v>
      </c>
      <c r="B34" s="33">
        <v>3344</v>
      </c>
      <c r="C34" s="33">
        <v>18392000</v>
      </c>
      <c r="D34" s="33">
        <v>17388800</v>
      </c>
      <c r="E34" s="34">
        <v>325</v>
      </c>
      <c r="F34" s="35">
        <v>0.59599999999999997</v>
      </c>
      <c r="G34" s="36" t="s">
        <v>90</v>
      </c>
    </row>
    <row r="35" spans="1:7" x14ac:dyDescent="0.2">
      <c r="A35" s="14" t="s">
        <v>116</v>
      </c>
      <c r="B35" s="16">
        <v>16332</v>
      </c>
      <c r="C35" s="16">
        <v>89826000</v>
      </c>
      <c r="D35" s="16">
        <v>84926400</v>
      </c>
      <c r="E35" s="27">
        <v>170</v>
      </c>
      <c r="F35" s="17">
        <v>0.56399999999999995</v>
      </c>
      <c r="G35" s="15" t="s">
        <v>84</v>
      </c>
    </row>
    <row r="36" spans="1:7" x14ac:dyDescent="0.2">
      <c r="A36" s="32" t="s">
        <v>117</v>
      </c>
      <c r="B36" s="33">
        <v>7513</v>
      </c>
      <c r="C36" s="33">
        <v>41321500</v>
      </c>
      <c r="D36" s="33">
        <v>39067600</v>
      </c>
      <c r="E36" s="34">
        <v>335</v>
      </c>
      <c r="F36" s="35">
        <v>0.52300000000000002</v>
      </c>
      <c r="G36" s="36" t="s">
        <v>90</v>
      </c>
    </row>
    <row r="37" spans="1:7" x14ac:dyDescent="0.2">
      <c r="A37" s="14" t="s">
        <v>118</v>
      </c>
      <c r="B37" s="16">
        <v>6684</v>
      </c>
      <c r="C37" s="16">
        <v>36762000</v>
      </c>
      <c r="D37" s="16">
        <v>34756800</v>
      </c>
      <c r="E37" s="27">
        <v>125</v>
      </c>
      <c r="F37" s="17">
        <v>0.59199999999999997</v>
      </c>
      <c r="G37" s="15" t="s">
        <v>82</v>
      </c>
    </row>
    <row r="38" spans="1:7" x14ac:dyDescent="0.2">
      <c r="A38" s="32" t="s">
        <v>119</v>
      </c>
      <c r="B38" s="33">
        <v>2760</v>
      </c>
      <c r="C38" s="33">
        <v>15180000</v>
      </c>
      <c r="D38" s="33">
        <v>14352000</v>
      </c>
      <c r="E38" s="34">
        <v>243.8</v>
      </c>
      <c r="F38" s="35">
        <v>0.55000000000000004</v>
      </c>
      <c r="G38" s="36" t="s">
        <v>90</v>
      </c>
    </row>
    <row r="39" spans="1:7" x14ac:dyDescent="0.2">
      <c r="A39" s="14" t="s">
        <v>120</v>
      </c>
      <c r="B39" s="16">
        <v>5942</v>
      </c>
      <c r="C39" s="16">
        <v>32681000</v>
      </c>
      <c r="D39" s="16">
        <v>30898400</v>
      </c>
      <c r="E39" s="27">
        <v>75</v>
      </c>
      <c r="F39" s="17">
        <v>0.56799999999999995</v>
      </c>
      <c r="G39" s="15" t="s">
        <v>82</v>
      </c>
    </row>
    <row r="40" spans="1:7" x14ac:dyDescent="0.2">
      <c r="A40" s="32" t="s">
        <v>121</v>
      </c>
      <c r="B40" s="33">
        <v>6327</v>
      </c>
      <c r="C40" s="33">
        <v>34798500</v>
      </c>
      <c r="D40" s="33">
        <v>32900400</v>
      </c>
      <c r="E40" s="34">
        <v>330</v>
      </c>
      <c r="F40" s="35">
        <v>0.56699999999999995</v>
      </c>
      <c r="G40" s="36" t="s">
        <v>90</v>
      </c>
    </row>
    <row r="41" spans="1:7" x14ac:dyDescent="0.2">
      <c r="A41" s="14" t="s">
        <v>122</v>
      </c>
      <c r="B41" s="16">
        <v>443911</v>
      </c>
      <c r="C41" s="16">
        <v>1600000000</v>
      </c>
      <c r="D41" s="16">
        <v>1500000000</v>
      </c>
      <c r="E41" s="27">
        <v>125</v>
      </c>
      <c r="F41" s="17">
        <v>0.72</v>
      </c>
      <c r="G41" s="15" t="s">
        <v>82</v>
      </c>
    </row>
    <row r="42" spans="1:7" x14ac:dyDescent="0.2">
      <c r="A42" s="32" t="s">
        <v>123</v>
      </c>
      <c r="B42" s="33">
        <v>7446</v>
      </c>
      <c r="C42" s="33">
        <v>40953000</v>
      </c>
      <c r="D42" s="33">
        <v>38719200</v>
      </c>
      <c r="E42" s="34">
        <v>60</v>
      </c>
      <c r="F42" s="35">
        <v>0.53300000000000003</v>
      </c>
      <c r="G42" s="36" t="s">
        <v>82</v>
      </c>
    </row>
    <row r="43" spans="1:7" x14ac:dyDescent="0.2">
      <c r="A43" s="14" t="s">
        <v>124</v>
      </c>
      <c r="B43" s="16">
        <v>4067</v>
      </c>
      <c r="C43" s="16">
        <v>22368500</v>
      </c>
      <c r="D43" s="16">
        <v>21148400</v>
      </c>
      <c r="E43" s="27">
        <v>210</v>
      </c>
      <c r="F43" s="17">
        <v>0.58499999999999996</v>
      </c>
      <c r="G43" s="15" t="s">
        <v>84</v>
      </c>
    </row>
    <row r="44" spans="1:7" x14ac:dyDescent="0.2">
      <c r="A44" s="32" t="s">
        <v>125</v>
      </c>
      <c r="B44" s="33">
        <v>7052</v>
      </c>
      <c r="C44" s="33">
        <v>38786000</v>
      </c>
      <c r="D44" s="33">
        <v>36670400</v>
      </c>
      <c r="E44" s="34">
        <v>165</v>
      </c>
      <c r="F44" s="35">
        <v>0.51400000000000001</v>
      </c>
      <c r="G44" s="36" t="s">
        <v>84</v>
      </c>
    </row>
    <row r="45" spans="1:7" x14ac:dyDescent="0.2">
      <c r="A45" s="14" t="s">
        <v>126</v>
      </c>
      <c r="B45" s="16">
        <v>4556</v>
      </c>
      <c r="C45" s="16">
        <v>25058000</v>
      </c>
      <c r="D45" s="16">
        <v>23691200</v>
      </c>
      <c r="E45" s="27">
        <v>243.8</v>
      </c>
      <c r="F45" s="17">
        <v>0.57399999999999995</v>
      </c>
      <c r="G45" s="15" t="s">
        <v>90</v>
      </c>
    </row>
    <row r="46" spans="1:7" x14ac:dyDescent="0.2">
      <c r="A46" s="32" t="s">
        <v>127</v>
      </c>
      <c r="B46" s="33">
        <v>5544</v>
      </c>
      <c r="C46" s="33">
        <v>30492000</v>
      </c>
      <c r="D46" s="33">
        <v>28828800</v>
      </c>
      <c r="E46" s="34">
        <v>155</v>
      </c>
      <c r="F46" s="35">
        <v>0.623</v>
      </c>
      <c r="G46" s="36" t="s">
        <v>84</v>
      </c>
    </row>
    <row r="47" spans="1:7" x14ac:dyDescent="0.2">
      <c r="A47" s="14" t="s">
        <v>128</v>
      </c>
      <c r="B47" s="16">
        <v>6629</v>
      </c>
      <c r="C47" s="16">
        <v>36459500</v>
      </c>
      <c r="D47" s="16">
        <v>34470800</v>
      </c>
      <c r="E47" s="27">
        <v>355</v>
      </c>
      <c r="F47" s="17">
        <v>0.59399999999999997</v>
      </c>
      <c r="G47" s="15" t="s">
        <v>90</v>
      </c>
    </row>
    <row r="48" spans="1:7" x14ac:dyDescent="0.2">
      <c r="A48" s="32" t="s">
        <v>129</v>
      </c>
      <c r="B48" s="33">
        <v>30007</v>
      </c>
      <c r="C48" s="33">
        <v>165038500</v>
      </c>
      <c r="D48" s="33">
        <v>156036400</v>
      </c>
      <c r="E48" s="34">
        <v>20</v>
      </c>
      <c r="F48" s="35">
        <v>0.61799999999999999</v>
      </c>
      <c r="G48" s="36" t="s">
        <v>82</v>
      </c>
    </row>
    <row r="49" spans="1:7" x14ac:dyDescent="0.2">
      <c r="A49" s="14" t="s">
        <v>130</v>
      </c>
      <c r="B49" s="16">
        <v>5124</v>
      </c>
      <c r="C49" s="16">
        <v>28182000</v>
      </c>
      <c r="D49" s="16">
        <v>26644800</v>
      </c>
      <c r="E49" s="27">
        <v>243.8</v>
      </c>
      <c r="F49" s="17">
        <v>0.63100000000000001</v>
      </c>
      <c r="G49" s="15" t="s">
        <v>90</v>
      </c>
    </row>
    <row r="50" spans="1:7" x14ac:dyDescent="0.2">
      <c r="A50" s="32" t="s">
        <v>131</v>
      </c>
      <c r="B50" s="33">
        <v>1888</v>
      </c>
      <c r="C50" s="33">
        <v>10384000</v>
      </c>
      <c r="D50" s="33">
        <v>9817600</v>
      </c>
      <c r="E50" s="34">
        <v>260</v>
      </c>
      <c r="F50" s="35">
        <v>0.64100000000000001</v>
      </c>
      <c r="G50" s="36" t="s">
        <v>90</v>
      </c>
    </row>
    <row r="51" spans="1:7" x14ac:dyDescent="0.2">
      <c r="A51" s="14" t="s">
        <v>132</v>
      </c>
      <c r="B51" s="16">
        <v>17821</v>
      </c>
      <c r="C51" s="16">
        <v>98015500</v>
      </c>
      <c r="D51" s="16">
        <v>92669200</v>
      </c>
      <c r="E51" s="27">
        <v>25</v>
      </c>
      <c r="F51" s="17">
        <v>0.55200000000000005</v>
      </c>
      <c r="G51" s="15" t="s">
        <v>82</v>
      </c>
    </row>
    <row r="52" spans="1:7" x14ac:dyDescent="0.2">
      <c r="A52" s="32" t="s">
        <v>133</v>
      </c>
      <c r="B52" s="33">
        <v>7842</v>
      </c>
      <c r="C52" s="33">
        <v>43131000</v>
      </c>
      <c r="D52" s="33">
        <v>40778400</v>
      </c>
      <c r="E52" s="34">
        <v>210</v>
      </c>
      <c r="F52" s="35">
        <v>0.56599999999999995</v>
      </c>
      <c r="G52" s="36" t="s">
        <v>84</v>
      </c>
    </row>
    <row r="53" spans="1:7" x14ac:dyDescent="0.2">
      <c r="A53" s="14" t="s">
        <v>134</v>
      </c>
      <c r="B53" s="16">
        <v>6890</v>
      </c>
      <c r="C53" s="16">
        <v>37895000</v>
      </c>
      <c r="D53" s="16">
        <v>35828000</v>
      </c>
      <c r="E53" s="27">
        <v>105</v>
      </c>
      <c r="F53" s="17">
        <v>0.56999999999999995</v>
      </c>
      <c r="G53" s="15" t="s">
        <v>82</v>
      </c>
    </row>
    <row r="54" spans="1:7" x14ac:dyDescent="0.2">
      <c r="A54" s="32" t="s">
        <v>135</v>
      </c>
      <c r="B54" s="33">
        <v>20208</v>
      </c>
      <c r="C54" s="33">
        <v>111144000</v>
      </c>
      <c r="D54" s="33">
        <v>105081600</v>
      </c>
      <c r="E54" s="34">
        <v>220</v>
      </c>
      <c r="F54" s="35">
        <v>0.59099999999999997</v>
      </c>
      <c r="G54" s="36" t="s">
        <v>84</v>
      </c>
    </row>
    <row r="55" spans="1:7" x14ac:dyDescent="0.2">
      <c r="A55" s="14" t="s">
        <v>136</v>
      </c>
      <c r="B55" s="16">
        <v>6441</v>
      </c>
      <c r="C55" s="16">
        <v>35425500</v>
      </c>
      <c r="D55" s="16">
        <v>33493200</v>
      </c>
      <c r="E55" s="27">
        <v>70</v>
      </c>
      <c r="F55" s="17">
        <v>0.52400000000000002</v>
      </c>
      <c r="G55" s="15" t="s">
        <v>82</v>
      </c>
    </row>
    <row r="56" spans="1:7" x14ac:dyDescent="0.2">
      <c r="A56" s="32" t="s">
        <v>137</v>
      </c>
      <c r="B56" s="33">
        <v>5415</v>
      </c>
      <c r="C56" s="33">
        <v>29782500</v>
      </c>
      <c r="D56" s="33">
        <v>28158000</v>
      </c>
      <c r="E56" s="34">
        <v>85</v>
      </c>
      <c r="F56" s="35">
        <v>0.52900000000000003</v>
      </c>
      <c r="G56" s="36" t="s">
        <v>82</v>
      </c>
    </row>
    <row r="57" spans="1:7" x14ac:dyDescent="0.2">
      <c r="A57" s="14" t="s">
        <v>138</v>
      </c>
      <c r="B57" s="16">
        <v>5141</v>
      </c>
      <c r="C57" s="16">
        <v>28275500</v>
      </c>
      <c r="D57" s="16">
        <v>26733200</v>
      </c>
      <c r="E57" s="27">
        <v>243.8</v>
      </c>
      <c r="F57" s="17">
        <v>0.52100000000000002</v>
      </c>
      <c r="G57" s="15" t="s">
        <v>90</v>
      </c>
    </row>
    <row r="58" spans="1:7" x14ac:dyDescent="0.2">
      <c r="A58" s="32" t="s">
        <v>139</v>
      </c>
      <c r="B58" s="33">
        <v>8314</v>
      </c>
      <c r="C58" s="33">
        <v>45727000</v>
      </c>
      <c r="D58" s="33">
        <v>43232800</v>
      </c>
      <c r="E58" s="34">
        <v>330</v>
      </c>
      <c r="F58" s="35">
        <v>0.57999999999999996</v>
      </c>
      <c r="G58" s="36" t="s">
        <v>90</v>
      </c>
    </row>
    <row r="59" spans="1:7" x14ac:dyDescent="0.2">
      <c r="A59" s="14" t="s">
        <v>140</v>
      </c>
      <c r="B59" s="16">
        <v>10638</v>
      </c>
      <c r="C59" s="16">
        <v>58509000</v>
      </c>
      <c r="D59" s="16">
        <v>55317600</v>
      </c>
      <c r="E59" s="27">
        <v>160</v>
      </c>
      <c r="F59" s="17">
        <v>0.54500000000000004</v>
      </c>
      <c r="G59" s="15" t="s">
        <v>84</v>
      </c>
    </row>
    <row r="60" spans="1:7" x14ac:dyDescent="0.2">
      <c r="A60" s="32" t="s">
        <v>141</v>
      </c>
      <c r="B60" s="33">
        <v>3360</v>
      </c>
      <c r="C60" s="33">
        <v>18480000</v>
      </c>
      <c r="D60" s="33">
        <v>17472000</v>
      </c>
      <c r="E60" s="34">
        <v>125</v>
      </c>
      <c r="F60" s="35">
        <v>0.60299999999999998</v>
      </c>
      <c r="G60" s="36" t="s">
        <v>82</v>
      </c>
    </row>
    <row r="61" spans="1:7" x14ac:dyDescent="0.2">
      <c r="A61" s="14" t="s">
        <v>142</v>
      </c>
      <c r="B61" s="16">
        <v>3036</v>
      </c>
      <c r="C61" s="16">
        <v>16698000</v>
      </c>
      <c r="D61" s="16">
        <v>15787200</v>
      </c>
      <c r="E61" s="27">
        <v>350</v>
      </c>
      <c r="F61" s="17">
        <v>0.59499999999999997</v>
      </c>
      <c r="G61" s="15" t="s">
        <v>90</v>
      </c>
    </row>
    <row r="62" spans="1:7" x14ac:dyDescent="0.2">
      <c r="A62" s="32" t="s">
        <v>143</v>
      </c>
      <c r="B62" s="33">
        <v>32599</v>
      </c>
      <c r="C62" s="33">
        <v>179294500</v>
      </c>
      <c r="D62" s="33">
        <v>169514800</v>
      </c>
      <c r="E62" s="34">
        <v>150</v>
      </c>
      <c r="F62" s="35">
        <v>0.623</v>
      </c>
      <c r="G62" s="36" t="s">
        <v>84</v>
      </c>
    </row>
    <row r="63" spans="1:7" x14ac:dyDescent="0.2">
      <c r="A63" s="14" t="s">
        <v>144</v>
      </c>
      <c r="B63" s="16">
        <v>11307</v>
      </c>
      <c r="C63" s="16">
        <v>62188500</v>
      </c>
      <c r="D63" s="16">
        <v>58796400</v>
      </c>
      <c r="E63" s="27">
        <v>145</v>
      </c>
      <c r="F63" s="17">
        <v>0.56000000000000005</v>
      </c>
      <c r="G63" s="15" t="s">
        <v>84</v>
      </c>
    </row>
    <row r="64" spans="1:7" x14ac:dyDescent="0.2">
      <c r="A64" s="32" t="s">
        <v>145</v>
      </c>
      <c r="B64" s="33">
        <v>2911</v>
      </c>
      <c r="C64" s="33">
        <v>16010500</v>
      </c>
      <c r="D64" s="33">
        <v>15137200</v>
      </c>
      <c r="E64" s="34">
        <v>243.8</v>
      </c>
      <c r="F64" s="35">
        <v>0.64100000000000001</v>
      </c>
      <c r="G64" s="36" t="s">
        <v>90</v>
      </c>
    </row>
    <row r="65" spans="1:7" x14ac:dyDescent="0.2">
      <c r="A65" s="14" t="s">
        <v>146</v>
      </c>
      <c r="B65" s="16">
        <v>8398</v>
      </c>
      <c r="C65" s="16">
        <v>46189000</v>
      </c>
      <c r="D65" s="16">
        <v>43669600</v>
      </c>
      <c r="E65" s="27">
        <v>190</v>
      </c>
      <c r="F65" s="17">
        <v>0.51300000000000001</v>
      </c>
      <c r="G65" s="15" t="s">
        <v>84</v>
      </c>
    </row>
    <row r="66" spans="1:7" x14ac:dyDescent="0.2">
      <c r="A66" s="32" t="s">
        <v>147</v>
      </c>
      <c r="B66" s="33">
        <v>60057</v>
      </c>
      <c r="C66" s="33">
        <v>330313500</v>
      </c>
      <c r="D66" s="33">
        <v>312296400</v>
      </c>
      <c r="E66" s="34">
        <v>98</v>
      </c>
      <c r="F66" s="35">
        <v>0.67300000000000004</v>
      </c>
      <c r="G66" s="36" t="s">
        <v>82</v>
      </c>
    </row>
    <row r="67" spans="1:7" x14ac:dyDescent="0.2">
      <c r="A67" s="14" t="s">
        <v>148</v>
      </c>
      <c r="B67" s="16">
        <v>14141</v>
      </c>
      <c r="C67" s="16">
        <v>77775500</v>
      </c>
      <c r="D67" s="16">
        <v>73533200</v>
      </c>
      <c r="E67" s="27">
        <v>75</v>
      </c>
      <c r="F67" s="17">
        <v>0.55600000000000005</v>
      </c>
      <c r="G67" s="15" t="s">
        <v>82</v>
      </c>
    </row>
    <row r="68" spans="1:7" x14ac:dyDescent="0.2">
      <c r="A68" s="32" t="s">
        <v>149</v>
      </c>
      <c r="B68" s="33">
        <v>3352</v>
      </c>
      <c r="C68" s="33">
        <v>18436000</v>
      </c>
      <c r="D68" s="33">
        <v>17430400</v>
      </c>
      <c r="E68" s="34">
        <v>220</v>
      </c>
      <c r="F68" s="35">
        <v>0.625</v>
      </c>
      <c r="G68" s="36" t="s">
        <v>84</v>
      </c>
    </row>
    <row r="69" spans="1:7" x14ac:dyDescent="0.2">
      <c r="A69" s="14" t="s">
        <v>150</v>
      </c>
      <c r="B69" s="16">
        <v>18234</v>
      </c>
      <c r="C69" s="16">
        <v>100287000</v>
      </c>
      <c r="D69" s="16">
        <v>94816800</v>
      </c>
      <c r="E69" s="27">
        <v>95</v>
      </c>
      <c r="F69" s="17">
        <v>0.59199999999999997</v>
      </c>
      <c r="G69" s="15" t="s">
        <v>82</v>
      </c>
    </row>
    <row r="70" spans="1:7" x14ac:dyDescent="0.2">
      <c r="A70" s="32" t="s">
        <v>151</v>
      </c>
      <c r="B70" s="33">
        <v>23558</v>
      </c>
      <c r="C70" s="33">
        <v>129569000</v>
      </c>
      <c r="D70" s="33">
        <v>122501600</v>
      </c>
      <c r="E70" s="34">
        <v>75</v>
      </c>
      <c r="F70" s="35">
        <v>0.61299999999999999</v>
      </c>
      <c r="G70" s="36" t="s">
        <v>82</v>
      </c>
    </row>
    <row r="71" spans="1:7" x14ac:dyDescent="0.2">
      <c r="A71" s="14" t="s">
        <v>152</v>
      </c>
      <c r="B71" s="16">
        <v>19165</v>
      </c>
      <c r="C71" s="16">
        <v>105407500</v>
      </c>
      <c r="D71" s="16">
        <v>99658000</v>
      </c>
      <c r="E71" s="27">
        <v>65</v>
      </c>
      <c r="F71" s="17">
        <v>0.56399999999999995</v>
      </c>
      <c r="G71" s="15" t="s">
        <v>82</v>
      </c>
    </row>
    <row r="72" spans="1:7" x14ac:dyDescent="0.2">
      <c r="A72" s="32" t="s">
        <v>153</v>
      </c>
      <c r="B72" s="33">
        <v>10840</v>
      </c>
      <c r="C72" s="33">
        <v>59620000</v>
      </c>
      <c r="D72" s="33">
        <v>56368000</v>
      </c>
      <c r="E72" s="34">
        <v>110</v>
      </c>
      <c r="F72" s="35">
        <v>0.56200000000000006</v>
      </c>
      <c r="G72" s="36" t="s">
        <v>82</v>
      </c>
    </row>
    <row r="73" spans="1:7" x14ac:dyDescent="0.2">
      <c r="A73" s="14" t="s">
        <v>154</v>
      </c>
      <c r="B73" s="16">
        <v>14969</v>
      </c>
      <c r="C73" s="16">
        <v>82329500</v>
      </c>
      <c r="D73" s="16">
        <v>77838800</v>
      </c>
      <c r="E73" s="27">
        <v>95</v>
      </c>
      <c r="F73" s="17">
        <v>0.55800000000000005</v>
      </c>
      <c r="G73" s="15" t="s">
        <v>82</v>
      </c>
    </row>
    <row r="74" spans="1:7" x14ac:dyDescent="0.2">
      <c r="A74" s="32" t="s">
        <v>155</v>
      </c>
      <c r="B74" s="33">
        <v>2607</v>
      </c>
      <c r="C74" s="33">
        <v>14338500</v>
      </c>
      <c r="D74" s="33">
        <v>13556400</v>
      </c>
      <c r="E74" s="34">
        <v>243.8</v>
      </c>
      <c r="F74" s="35">
        <v>0.622</v>
      </c>
      <c r="G74" s="36" t="s">
        <v>90</v>
      </c>
    </row>
    <row r="75" spans="1:7" x14ac:dyDescent="0.2">
      <c r="A75" s="14" t="s">
        <v>156</v>
      </c>
      <c r="B75" s="16">
        <v>897633</v>
      </c>
      <c r="C75" s="16">
        <v>3800000000</v>
      </c>
      <c r="D75" s="16">
        <v>3500000000</v>
      </c>
      <c r="E75" s="27">
        <v>0</v>
      </c>
      <c r="F75" s="17">
        <v>0.76300000000000001</v>
      </c>
      <c r="G75" s="15" t="s">
        <v>82</v>
      </c>
    </row>
    <row r="76" spans="1:7" x14ac:dyDescent="0.2">
      <c r="A76" s="32" t="s">
        <v>157</v>
      </c>
      <c r="B76" s="33">
        <v>8088</v>
      </c>
      <c r="C76" s="33">
        <v>44484000</v>
      </c>
      <c r="D76" s="33">
        <v>42057600</v>
      </c>
      <c r="E76" s="34">
        <v>90</v>
      </c>
      <c r="F76" s="35">
        <v>0.57899999999999996</v>
      </c>
      <c r="G76" s="36" t="s">
        <v>82</v>
      </c>
    </row>
    <row r="77" spans="1:7" x14ac:dyDescent="0.2">
      <c r="A77" s="14" t="s">
        <v>158</v>
      </c>
      <c r="B77" s="16">
        <v>17520</v>
      </c>
      <c r="C77" s="16">
        <v>96360000</v>
      </c>
      <c r="D77" s="16">
        <v>91104000</v>
      </c>
      <c r="E77" s="27">
        <v>215</v>
      </c>
      <c r="F77" s="17">
        <v>0.56699999999999995</v>
      </c>
      <c r="G77" s="15" t="s">
        <v>84</v>
      </c>
    </row>
    <row r="78" spans="1:7" x14ac:dyDescent="0.2">
      <c r="A78" s="32" t="s">
        <v>159</v>
      </c>
      <c r="B78" s="33">
        <v>7019</v>
      </c>
      <c r="C78" s="33">
        <v>38604500</v>
      </c>
      <c r="D78" s="33">
        <v>36498800</v>
      </c>
      <c r="E78" s="34">
        <v>235</v>
      </c>
      <c r="F78" s="35">
        <v>0.61699999999999999</v>
      </c>
      <c r="G78" s="36" t="s">
        <v>90</v>
      </c>
    </row>
    <row r="79" spans="1:7" x14ac:dyDescent="0.2">
      <c r="A79" s="14" t="s">
        <v>160</v>
      </c>
      <c r="B79" s="16">
        <v>10255</v>
      </c>
      <c r="C79" s="16">
        <v>56402500</v>
      </c>
      <c r="D79" s="16">
        <v>53326000</v>
      </c>
      <c r="E79" s="27">
        <v>65</v>
      </c>
      <c r="F79" s="17">
        <v>0.54800000000000004</v>
      </c>
      <c r="G79" s="15" t="s">
        <v>82</v>
      </c>
    </row>
    <row r="80" spans="1:7" x14ac:dyDescent="0.2">
      <c r="A80" s="32" t="s">
        <v>161</v>
      </c>
      <c r="B80" s="33">
        <v>4489</v>
      </c>
      <c r="C80" s="33">
        <v>24689500</v>
      </c>
      <c r="D80" s="33">
        <v>23342800</v>
      </c>
      <c r="E80" s="34">
        <v>243.8</v>
      </c>
      <c r="F80" s="35">
        <v>0.56299999999999994</v>
      </c>
      <c r="G80" s="36" t="s">
        <v>90</v>
      </c>
    </row>
    <row r="81" spans="1:7" x14ac:dyDescent="0.2">
      <c r="A81" s="14" t="s">
        <v>162</v>
      </c>
      <c r="B81" s="16">
        <v>29209</v>
      </c>
      <c r="C81" s="16">
        <v>160649500</v>
      </c>
      <c r="D81" s="16">
        <v>151886800</v>
      </c>
      <c r="E81" s="27">
        <v>130</v>
      </c>
      <c r="F81" s="17">
        <v>0.627</v>
      </c>
      <c r="G81" s="15" t="s">
        <v>82</v>
      </c>
    </row>
    <row r="82" spans="1:7" x14ac:dyDescent="0.2">
      <c r="A82" s="32" t="s">
        <v>163</v>
      </c>
      <c r="B82" s="33">
        <v>8123</v>
      </c>
      <c r="C82" s="33">
        <v>44676500</v>
      </c>
      <c r="D82" s="33">
        <v>42239600</v>
      </c>
      <c r="E82" s="34">
        <v>120</v>
      </c>
      <c r="F82" s="35">
        <v>0.56999999999999995</v>
      </c>
      <c r="G82" s="36" t="s">
        <v>82</v>
      </c>
    </row>
    <row r="83" spans="1:7" x14ac:dyDescent="0.2">
      <c r="A83" s="14" t="s">
        <v>164</v>
      </c>
      <c r="B83" s="16">
        <v>3316</v>
      </c>
      <c r="C83" s="16">
        <v>18238000</v>
      </c>
      <c r="D83" s="16">
        <v>17243200</v>
      </c>
      <c r="E83" s="27">
        <v>243.8</v>
      </c>
      <c r="F83" s="17">
        <v>0.53300000000000003</v>
      </c>
      <c r="G83" s="15" t="s">
        <v>90</v>
      </c>
    </row>
    <row r="84" spans="1:7" x14ac:dyDescent="0.2">
      <c r="A84" s="32" t="s">
        <v>165</v>
      </c>
      <c r="B84" s="33">
        <v>7041</v>
      </c>
      <c r="C84" s="33">
        <v>38725500</v>
      </c>
      <c r="D84" s="33">
        <v>36613200</v>
      </c>
      <c r="E84" s="34">
        <v>245</v>
      </c>
      <c r="F84" s="35">
        <v>0.56599999999999995</v>
      </c>
      <c r="G84" s="36" t="s">
        <v>90</v>
      </c>
    </row>
    <row r="85" spans="1:7" x14ac:dyDescent="0.2">
      <c r="A85" s="14" t="s">
        <v>166</v>
      </c>
      <c r="B85" s="16">
        <v>5107</v>
      </c>
      <c r="C85" s="16">
        <v>28088500</v>
      </c>
      <c r="D85" s="16">
        <v>26556400</v>
      </c>
      <c r="E85" s="27">
        <v>130</v>
      </c>
      <c r="F85" s="17">
        <v>0.58299999999999996</v>
      </c>
      <c r="G85" s="15" t="s">
        <v>82</v>
      </c>
    </row>
    <row r="86" spans="1:7" x14ac:dyDescent="0.2">
      <c r="A86" s="32" t="s">
        <v>167</v>
      </c>
      <c r="B86" s="33">
        <v>13088</v>
      </c>
      <c r="C86" s="33">
        <v>71984000</v>
      </c>
      <c r="D86" s="33">
        <v>68057600</v>
      </c>
      <c r="E86" s="34">
        <v>45</v>
      </c>
      <c r="F86" s="35">
        <v>0.58299999999999996</v>
      </c>
      <c r="G86" s="36" t="s">
        <v>82</v>
      </c>
    </row>
    <row r="87" spans="1:7" x14ac:dyDescent="0.2">
      <c r="A87" s="14" t="s">
        <v>168</v>
      </c>
      <c r="B87" s="16">
        <v>6288</v>
      </c>
      <c r="C87" s="16">
        <v>34584000</v>
      </c>
      <c r="D87" s="16">
        <v>32697600</v>
      </c>
      <c r="E87" s="27">
        <v>335</v>
      </c>
      <c r="F87" s="17">
        <v>0.64200000000000002</v>
      </c>
      <c r="G87" s="15" t="s">
        <v>90</v>
      </c>
    </row>
    <row r="88" spans="1:7" x14ac:dyDescent="0.2">
      <c r="A88" s="32" t="s">
        <v>169</v>
      </c>
      <c r="B88" s="33">
        <v>46966</v>
      </c>
      <c r="C88" s="33">
        <v>258313000</v>
      </c>
      <c r="D88" s="33">
        <v>244223200</v>
      </c>
      <c r="E88" s="34">
        <v>52</v>
      </c>
      <c r="F88" s="35">
        <v>0.58499999999999996</v>
      </c>
      <c r="G88" s="36" t="s">
        <v>82</v>
      </c>
    </row>
    <row r="89" spans="1:7" x14ac:dyDescent="0.2">
      <c r="A89" s="14" t="s">
        <v>170</v>
      </c>
      <c r="B89" s="16">
        <v>9537</v>
      </c>
      <c r="C89" s="16">
        <v>52453500</v>
      </c>
      <c r="D89" s="16">
        <v>49592400</v>
      </c>
      <c r="E89" s="27">
        <v>85</v>
      </c>
      <c r="F89" s="17">
        <v>0.52900000000000003</v>
      </c>
      <c r="G89" s="15" t="s">
        <v>82</v>
      </c>
    </row>
    <row r="90" spans="1:7" x14ac:dyDescent="0.2">
      <c r="A90" s="32" t="s">
        <v>171</v>
      </c>
      <c r="B90" s="33">
        <v>22170</v>
      </c>
      <c r="C90" s="33">
        <v>121935000</v>
      </c>
      <c r="D90" s="33">
        <v>115284000</v>
      </c>
      <c r="E90" s="34">
        <v>60</v>
      </c>
      <c r="F90" s="35">
        <v>0.54800000000000004</v>
      </c>
      <c r="G90" s="36" t="s">
        <v>82</v>
      </c>
    </row>
    <row r="91" spans="1:7" x14ac:dyDescent="0.2">
      <c r="A91" s="14" t="s">
        <v>172</v>
      </c>
      <c r="B91" s="16">
        <v>14756</v>
      </c>
      <c r="C91" s="16">
        <v>81158000</v>
      </c>
      <c r="D91" s="16">
        <v>76731200</v>
      </c>
      <c r="E91" s="27">
        <v>135</v>
      </c>
      <c r="F91" s="17">
        <v>0.56699999999999995</v>
      </c>
      <c r="G91" s="15" t="s">
        <v>84</v>
      </c>
    </row>
    <row r="92" spans="1:7" x14ac:dyDescent="0.2">
      <c r="A92" s="32" t="s">
        <v>173</v>
      </c>
      <c r="B92" s="33">
        <v>8650</v>
      </c>
      <c r="C92" s="33">
        <v>47575000</v>
      </c>
      <c r="D92" s="33">
        <v>44980000</v>
      </c>
      <c r="E92" s="34">
        <v>95</v>
      </c>
      <c r="F92" s="35">
        <v>0.53600000000000003</v>
      </c>
      <c r="G92" s="36" t="s">
        <v>82</v>
      </c>
    </row>
    <row r="93" spans="1:7" x14ac:dyDescent="0.2">
      <c r="A93" s="14" t="s">
        <v>174</v>
      </c>
      <c r="B93" s="16">
        <v>4759</v>
      </c>
      <c r="C93" s="16">
        <v>26174500</v>
      </c>
      <c r="D93" s="16">
        <v>24746800</v>
      </c>
      <c r="E93" s="27">
        <v>145</v>
      </c>
      <c r="F93" s="17">
        <v>0.54100000000000004</v>
      </c>
      <c r="G93" s="15" t="s">
        <v>84</v>
      </c>
    </row>
    <row r="94" spans="1:7" x14ac:dyDescent="0.2">
      <c r="A94" s="32" t="s">
        <v>175</v>
      </c>
      <c r="B94" s="33">
        <v>6717</v>
      </c>
      <c r="C94" s="33">
        <v>36943500</v>
      </c>
      <c r="D94" s="33">
        <v>34928400</v>
      </c>
      <c r="E94" s="34">
        <v>345</v>
      </c>
      <c r="F94" s="35">
        <v>0.57199999999999995</v>
      </c>
      <c r="G94" s="36" t="s">
        <v>90</v>
      </c>
    </row>
    <row r="95" spans="1:7" x14ac:dyDescent="0.2">
      <c r="A95" s="14" t="s">
        <v>176</v>
      </c>
      <c r="B95" s="16">
        <v>14435</v>
      </c>
      <c r="C95" s="16">
        <v>79392500</v>
      </c>
      <c r="D95" s="16">
        <v>75062000</v>
      </c>
      <c r="E95" s="27">
        <v>110</v>
      </c>
      <c r="F95" s="17">
        <v>0.57399999999999995</v>
      </c>
      <c r="G95" s="15" t="s">
        <v>82</v>
      </c>
    </row>
    <row r="96" spans="1:7" x14ac:dyDescent="0.2">
      <c r="A96" s="32" t="s">
        <v>177</v>
      </c>
      <c r="B96" s="33">
        <v>6144</v>
      </c>
      <c r="C96" s="33">
        <v>33792000</v>
      </c>
      <c r="D96" s="33">
        <v>31948800</v>
      </c>
      <c r="E96" s="34">
        <v>155</v>
      </c>
      <c r="F96" s="35">
        <v>0.59</v>
      </c>
      <c r="G96" s="36" t="s">
        <v>84</v>
      </c>
    </row>
    <row r="97" spans="1:7" x14ac:dyDescent="0.2">
      <c r="A97" s="14" t="s">
        <v>178</v>
      </c>
      <c r="B97" s="16">
        <v>33886</v>
      </c>
      <c r="C97" s="16">
        <v>186373000</v>
      </c>
      <c r="D97" s="16">
        <v>176207200</v>
      </c>
      <c r="E97" s="27">
        <v>300</v>
      </c>
      <c r="F97" s="17">
        <v>0.628</v>
      </c>
      <c r="G97" s="15" t="s">
        <v>90</v>
      </c>
    </row>
    <row r="98" spans="1:7" x14ac:dyDescent="0.2">
      <c r="A98" s="32" t="s">
        <v>179</v>
      </c>
      <c r="B98" s="33">
        <v>8909</v>
      </c>
      <c r="C98" s="33">
        <v>48999500</v>
      </c>
      <c r="D98" s="33">
        <v>46326800</v>
      </c>
      <c r="E98" s="34">
        <v>100</v>
      </c>
      <c r="F98" s="35">
        <v>0.56499999999999995</v>
      </c>
      <c r="G98" s="36" t="s">
        <v>82</v>
      </c>
    </row>
    <row r="99" spans="1:7" x14ac:dyDescent="0.2">
      <c r="A99" s="14" t="s">
        <v>180</v>
      </c>
      <c r="B99" s="16">
        <v>3599</v>
      </c>
      <c r="C99" s="16">
        <v>19794500</v>
      </c>
      <c r="D99" s="16">
        <v>18714800</v>
      </c>
      <c r="E99" s="27">
        <v>243.8</v>
      </c>
      <c r="F99" s="17">
        <v>0.54200000000000004</v>
      </c>
      <c r="G99" s="15" t="s">
        <v>90</v>
      </c>
    </row>
    <row r="100" spans="1:7" x14ac:dyDescent="0.2">
      <c r="A100" s="32" t="s">
        <v>181</v>
      </c>
      <c r="B100" s="33">
        <v>8935</v>
      </c>
      <c r="C100" s="33">
        <v>49142500</v>
      </c>
      <c r="D100" s="33">
        <v>46462000</v>
      </c>
      <c r="E100" s="34">
        <v>160</v>
      </c>
      <c r="F100" s="35">
        <v>0.54100000000000004</v>
      </c>
      <c r="G100" s="36" t="s">
        <v>84</v>
      </c>
    </row>
    <row r="101" spans="1:7" x14ac:dyDescent="0.2">
      <c r="A101" s="14" t="s">
        <v>182</v>
      </c>
      <c r="B101" s="16">
        <v>9840</v>
      </c>
      <c r="C101" s="16">
        <v>54120000</v>
      </c>
      <c r="D101" s="16">
        <v>51168000</v>
      </c>
      <c r="E101" s="27">
        <v>200</v>
      </c>
      <c r="F101" s="17">
        <v>0.60099999999999998</v>
      </c>
      <c r="G101" s="15" t="s">
        <v>84</v>
      </c>
    </row>
    <row r="102" spans="1:7" x14ac:dyDescent="0.2">
      <c r="A102" s="32" t="s">
        <v>183</v>
      </c>
      <c r="B102" s="33">
        <v>4359</v>
      </c>
      <c r="C102" s="33">
        <v>23974500</v>
      </c>
      <c r="D102" s="33">
        <v>22666800</v>
      </c>
      <c r="E102" s="34">
        <v>230</v>
      </c>
      <c r="F102" s="35">
        <v>0.59499999999999997</v>
      </c>
      <c r="G102" s="36" t="s">
        <v>84</v>
      </c>
    </row>
    <row r="103" spans="1:7" x14ac:dyDescent="0.2">
      <c r="A103" s="14" t="s">
        <v>184</v>
      </c>
      <c r="B103" s="16">
        <v>3675</v>
      </c>
      <c r="C103" s="16">
        <v>20212500</v>
      </c>
      <c r="D103" s="16">
        <v>19110000</v>
      </c>
      <c r="E103" s="27">
        <v>243.8</v>
      </c>
      <c r="F103" s="17">
        <v>0.58799999999999997</v>
      </c>
      <c r="G103" s="15" t="s">
        <v>90</v>
      </c>
    </row>
    <row r="104" spans="1:7" x14ac:dyDescent="0.2">
      <c r="A104" s="32" t="s">
        <v>185</v>
      </c>
      <c r="B104" s="33">
        <v>3000</v>
      </c>
      <c r="C104" s="33">
        <v>16500000</v>
      </c>
      <c r="D104" s="33">
        <v>15600000</v>
      </c>
      <c r="E104" s="34">
        <v>243.8</v>
      </c>
      <c r="F104" s="35">
        <v>0.61399999999999999</v>
      </c>
      <c r="G104" s="36" t="s">
        <v>90</v>
      </c>
    </row>
    <row r="105" spans="1:7" x14ac:dyDescent="0.2">
      <c r="A105" s="14" t="s">
        <v>186</v>
      </c>
      <c r="B105" s="16">
        <v>1745</v>
      </c>
      <c r="C105" s="16">
        <v>9597500</v>
      </c>
      <c r="D105" s="16">
        <v>9074000</v>
      </c>
      <c r="E105" s="27">
        <v>235</v>
      </c>
      <c r="F105" s="17">
        <v>0.58399999999999996</v>
      </c>
      <c r="G105" s="15" t="s">
        <v>90</v>
      </c>
    </row>
    <row r="106" spans="1:7" x14ac:dyDescent="0.2">
      <c r="A106" s="32" t="s">
        <v>187</v>
      </c>
      <c r="B106" s="33">
        <v>2580</v>
      </c>
      <c r="C106" s="33">
        <v>14190000</v>
      </c>
      <c r="D106" s="33">
        <v>13416000</v>
      </c>
      <c r="E106" s="34">
        <v>330</v>
      </c>
      <c r="F106" s="35">
        <v>0.62</v>
      </c>
      <c r="G106" s="36" t="s">
        <v>90</v>
      </c>
    </row>
    <row r="107" spans="1:7" x14ac:dyDescent="0.2">
      <c r="A107" s="14" t="s">
        <v>188</v>
      </c>
      <c r="B107" s="16">
        <v>108104</v>
      </c>
      <c r="C107" s="16">
        <v>380000000</v>
      </c>
      <c r="D107" s="16">
        <v>350000000</v>
      </c>
      <c r="E107" s="27">
        <v>307</v>
      </c>
      <c r="F107" s="17">
        <v>0.70099999999999996</v>
      </c>
      <c r="G107" s="15" t="s">
        <v>90</v>
      </c>
    </row>
    <row r="108" spans="1:7" x14ac:dyDescent="0.2">
      <c r="A108" s="32" t="s">
        <v>189</v>
      </c>
      <c r="B108" s="33">
        <v>6980</v>
      </c>
      <c r="C108" s="33">
        <v>38390000</v>
      </c>
      <c r="D108" s="33">
        <v>36296000</v>
      </c>
      <c r="E108" s="34">
        <v>225</v>
      </c>
      <c r="F108" s="35">
        <v>0.57399999999999995</v>
      </c>
      <c r="G108" s="36" t="s">
        <v>84</v>
      </c>
    </row>
    <row r="109" spans="1:7" x14ac:dyDescent="0.2">
      <c r="A109" s="14" t="s">
        <v>190</v>
      </c>
      <c r="B109" s="16">
        <v>31356</v>
      </c>
      <c r="C109" s="16">
        <v>172458000</v>
      </c>
      <c r="D109" s="16">
        <v>163051200</v>
      </c>
      <c r="E109" s="27">
        <v>42</v>
      </c>
      <c r="F109" s="17">
        <v>0.59</v>
      </c>
      <c r="G109" s="15" t="s">
        <v>82</v>
      </c>
    </row>
    <row r="110" spans="1:7" x14ac:dyDescent="0.2">
      <c r="A110" s="32" t="s">
        <v>191</v>
      </c>
      <c r="B110" s="33">
        <v>5932</v>
      </c>
      <c r="C110" s="33">
        <v>32626000</v>
      </c>
      <c r="D110" s="33">
        <v>30846400</v>
      </c>
      <c r="E110" s="34">
        <v>90</v>
      </c>
      <c r="F110" s="35">
        <v>0.54200000000000004</v>
      </c>
      <c r="G110" s="36" t="s">
        <v>82</v>
      </c>
    </row>
    <row r="111" spans="1:7" x14ac:dyDescent="0.2">
      <c r="A111" s="14" t="s">
        <v>192</v>
      </c>
      <c r="B111" s="16">
        <v>18862</v>
      </c>
      <c r="C111" s="16">
        <v>103741000</v>
      </c>
      <c r="D111" s="16">
        <v>98082400</v>
      </c>
      <c r="E111" s="27">
        <v>230</v>
      </c>
      <c r="F111" s="17">
        <v>0.60799999999999998</v>
      </c>
      <c r="G111" s="15" t="s">
        <v>84</v>
      </c>
    </row>
    <row r="112" spans="1:7" x14ac:dyDescent="0.2">
      <c r="A112" s="32" t="s">
        <v>193</v>
      </c>
      <c r="B112" s="33">
        <v>12889</v>
      </c>
      <c r="C112" s="33">
        <v>70889500</v>
      </c>
      <c r="D112" s="33">
        <v>67022800</v>
      </c>
      <c r="E112" s="34">
        <v>60</v>
      </c>
      <c r="F112" s="35">
        <v>0.57899999999999996</v>
      </c>
      <c r="G112" s="36" t="s">
        <v>82</v>
      </c>
    </row>
    <row r="113" spans="1:7" x14ac:dyDescent="0.2">
      <c r="A113" s="14" t="s">
        <v>194</v>
      </c>
      <c r="B113" s="16">
        <v>6974</v>
      </c>
      <c r="C113" s="16">
        <v>38357000</v>
      </c>
      <c r="D113" s="16">
        <v>36264800</v>
      </c>
      <c r="E113" s="27">
        <v>135</v>
      </c>
      <c r="F113" s="17">
        <v>0.56000000000000005</v>
      </c>
      <c r="G113" s="15" t="s">
        <v>84</v>
      </c>
    </row>
    <row r="114" spans="1:7" x14ac:dyDescent="0.2">
      <c r="A114" s="32" t="s">
        <v>195</v>
      </c>
      <c r="B114" s="33">
        <v>5539</v>
      </c>
      <c r="C114" s="33">
        <v>30464500</v>
      </c>
      <c r="D114" s="33">
        <v>28802800</v>
      </c>
      <c r="E114" s="34">
        <v>243.8</v>
      </c>
      <c r="F114" s="35">
        <v>0.56399999999999995</v>
      </c>
      <c r="G114" s="36" t="s">
        <v>90</v>
      </c>
    </row>
    <row r="115" spans="1:7" x14ac:dyDescent="0.2">
      <c r="A115" s="14" t="s">
        <v>196</v>
      </c>
      <c r="B115" s="16">
        <v>9411</v>
      </c>
      <c r="C115" s="16">
        <v>51760500</v>
      </c>
      <c r="D115" s="16">
        <v>48937200</v>
      </c>
      <c r="E115" s="27">
        <v>105</v>
      </c>
      <c r="F115" s="17">
        <v>0.59499999999999997</v>
      </c>
      <c r="G115" s="15" t="s">
        <v>82</v>
      </c>
    </row>
    <row r="116" spans="1:7" x14ac:dyDescent="0.2">
      <c r="A116" s="32" t="s">
        <v>197</v>
      </c>
      <c r="B116" s="33">
        <v>17166</v>
      </c>
      <c r="C116" s="33">
        <v>94413000</v>
      </c>
      <c r="D116" s="33">
        <v>89263200</v>
      </c>
      <c r="E116" s="34">
        <v>65</v>
      </c>
      <c r="F116" s="35">
        <v>0.56999999999999995</v>
      </c>
      <c r="G116" s="36" t="s">
        <v>82</v>
      </c>
    </row>
    <row r="117" spans="1:7" x14ac:dyDescent="0.2">
      <c r="A117" s="14" t="s">
        <v>198</v>
      </c>
      <c r="B117" s="16">
        <v>18038</v>
      </c>
      <c r="C117" s="16">
        <v>99209000</v>
      </c>
      <c r="D117" s="16">
        <v>93797600</v>
      </c>
      <c r="E117" s="27">
        <v>155</v>
      </c>
      <c r="F117" s="17">
        <v>0.59099999999999997</v>
      </c>
      <c r="G117" s="15" t="s">
        <v>84</v>
      </c>
    </row>
    <row r="118" spans="1:7" x14ac:dyDescent="0.2">
      <c r="A118" s="32" t="s">
        <v>199</v>
      </c>
      <c r="B118" s="33">
        <v>3934</v>
      </c>
      <c r="C118" s="33">
        <v>21637000</v>
      </c>
      <c r="D118" s="33">
        <v>20456800</v>
      </c>
      <c r="E118" s="34">
        <v>243.8</v>
      </c>
      <c r="F118" s="35">
        <v>0.52500000000000002</v>
      </c>
      <c r="G118" s="36" t="s">
        <v>90</v>
      </c>
    </row>
    <row r="119" spans="1:7" x14ac:dyDescent="0.2">
      <c r="A119" s="14" t="s">
        <v>200</v>
      </c>
      <c r="B119" s="16">
        <v>4126</v>
      </c>
      <c r="C119" s="16">
        <v>22693000</v>
      </c>
      <c r="D119" s="16">
        <v>21455200</v>
      </c>
      <c r="E119" s="27">
        <v>243.8</v>
      </c>
      <c r="F119" s="17">
        <v>0.61199999999999999</v>
      </c>
      <c r="G119" s="15" t="s">
        <v>90</v>
      </c>
    </row>
    <row r="120" spans="1:7" x14ac:dyDescent="0.2">
      <c r="A120" s="32" t="s">
        <v>201</v>
      </c>
      <c r="B120" s="33">
        <v>4032</v>
      </c>
      <c r="C120" s="33">
        <v>22176000</v>
      </c>
      <c r="D120" s="33">
        <v>20966400</v>
      </c>
      <c r="E120" s="34">
        <v>243.8</v>
      </c>
      <c r="F120" s="35">
        <v>0.60799999999999998</v>
      </c>
      <c r="G120" s="36" t="s">
        <v>90</v>
      </c>
    </row>
    <row r="121" spans="1:7" x14ac:dyDescent="0.2">
      <c r="A121" s="14" t="s">
        <v>202</v>
      </c>
      <c r="B121" s="16">
        <v>14942</v>
      </c>
      <c r="C121" s="16">
        <v>82181000</v>
      </c>
      <c r="D121" s="16">
        <v>77698400</v>
      </c>
      <c r="E121" s="27">
        <v>140</v>
      </c>
      <c r="F121" s="17">
        <v>0.59199999999999997</v>
      </c>
      <c r="G121" s="15" t="s">
        <v>84</v>
      </c>
    </row>
    <row r="122" spans="1:7" x14ac:dyDescent="0.2">
      <c r="A122" s="32" t="s">
        <v>203</v>
      </c>
      <c r="B122" s="33">
        <v>50698</v>
      </c>
      <c r="C122" s="33">
        <v>278839000</v>
      </c>
      <c r="D122" s="33">
        <v>263629600</v>
      </c>
      <c r="E122" s="34">
        <v>133</v>
      </c>
      <c r="F122" s="35">
        <v>0.60799999999999998</v>
      </c>
      <c r="G122" s="36" t="s">
        <v>84</v>
      </c>
    </row>
    <row r="123" spans="1:7" x14ac:dyDescent="0.2">
      <c r="A123" s="14" t="s">
        <v>204</v>
      </c>
      <c r="B123" s="16">
        <v>1803</v>
      </c>
      <c r="C123" s="16">
        <v>9916500</v>
      </c>
      <c r="D123" s="16">
        <v>9375600</v>
      </c>
      <c r="E123" s="27">
        <v>330</v>
      </c>
      <c r="F123" s="17">
        <v>0.622</v>
      </c>
      <c r="G123" s="15" t="s">
        <v>90</v>
      </c>
    </row>
    <row r="124" spans="1:7" x14ac:dyDescent="0.2">
      <c r="A124" s="32" t="s">
        <v>205</v>
      </c>
      <c r="B124" s="33">
        <v>18399</v>
      </c>
      <c r="C124" s="33">
        <v>101194500</v>
      </c>
      <c r="D124" s="33">
        <v>95674800</v>
      </c>
      <c r="E124" s="34">
        <v>155</v>
      </c>
      <c r="F124" s="35">
        <v>0.60699999999999998</v>
      </c>
      <c r="G124" s="36" t="s">
        <v>84</v>
      </c>
    </row>
    <row r="125" spans="1:7" x14ac:dyDescent="0.2">
      <c r="A125" s="14" t="s">
        <v>206</v>
      </c>
      <c r="B125" s="16">
        <v>2063</v>
      </c>
      <c r="C125" s="16">
        <v>11346500</v>
      </c>
      <c r="D125" s="16">
        <v>10727600</v>
      </c>
      <c r="E125" s="27">
        <v>175</v>
      </c>
      <c r="F125" s="17">
        <v>0.59399999999999997</v>
      </c>
      <c r="G125" s="15" t="s">
        <v>84</v>
      </c>
    </row>
    <row r="126" spans="1:7" x14ac:dyDescent="0.2">
      <c r="A126" s="32" t="s">
        <v>207</v>
      </c>
      <c r="B126" s="33">
        <v>2945</v>
      </c>
      <c r="C126" s="33">
        <v>16197500</v>
      </c>
      <c r="D126" s="33">
        <v>15314000</v>
      </c>
      <c r="E126" s="34">
        <v>155</v>
      </c>
      <c r="F126" s="35">
        <v>0.57399999999999995</v>
      </c>
      <c r="G126" s="36" t="s">
        <v>84</v>
      </c>
    </row>
    <row r="127" spans="1:7" x14ac:dyDescent="0.2">
      <c r="A127" s="14" t="s">
        <v>208</v>
      </c>
      <c r="B127" s="16">
        <v>4911</v>
      </c>
      <c r="C127" s="16">
        <v>27010500</v>
      </c>
      <c r="D127" s="16">
        <v>25537200</v>
      </c>
      <c r="E127" s="27">
        <v>105</v>
      </c>
      <c r="F127" s="17">
        <v>0.55300000000000005</v>
      </c>
      <c r="G127" s="15" t="s">
        <v>82</v>
      </c>
    </row>
    <row r="128" spans="1:7" x14ac:dyDescent="0.2">
      <c r="A128" s="32" t="s">
        <v>209</v>
      </c>
      <c r="B128" s="33">
        <v>4989</v>
      </c>
      <c r="C128" s="33">
        <v>27439500</v>
      </c>
      <c r="D128" s="33">
        <v>25942800</v>
      </c>
      <c r="E128" s="34">
        <v>65</v>
      </c>
      <c r="F128" s="35">
        <v>0.55500000000000005</v>
      </c>
      <c r="G128" s="36" t="s">
        <v>82</v>
      </c>
    </row>
    <row r="129" spans="1:7" x14ac:dyDescent="0.2">
      <c r="A129" s="14" t="s">
        <v>210</v>
      </c>
      <c r="B129" s="16">
        <v>25500</v>
      </c>
      <c r="C129" s="16">
        <v>140250000</v>
      </c>
      <c r="D129" s="16">
        <v>132600000</v>
      </c>
      <c r="E129" s="27">
        <v>60</v>
      </c>
      <c r="F129" s="17">
        <v>0.58499999999999996</v>
      </c>
      <c r="G129" s="15" t="s">
        <v>82</v>
      </c>
    </row>
    <row r="130" spans="1:7" x14ac:dyDescent="0.2">
      <c r="A130" s="32" t="s">
        <v>211</v>
      </c>
      <c r="B130" s="33">
        <v>3435</v>
      </c>
      <c r="C130" s="33">
        <v>18892500</v>
      </c>
      <c r="D130" s="33">
        <v>17862000</v>
      </c>
      <c r="E130" s="34">
        <v>243.8</v>
      </c>
      <c r="F130" s="35">
        <v>0.56299999999999994</v>
      </c>
      <c r="G130" s="36" t="s">
        <v>90</v>
      </c>
    </row>
    <row r="131" spans="1:7" x14ac:dyDescent="0.2">
      <c r="A131" s="14" t="s">
        <v>212</v>
      </c>
      <c r="B131" s="16">
        <v>11741</v>
      </c>
      <c r="C131" s="16">
        <v>64575500</v>
      </c>
      <c r="D131" s="16">
        <v>61053200</v>
      </c>
      <c r="E131" s="27">
        <v>85</v>
      </c>
      <c r="F131" s="17">
        <v>0.56799999999999995</v>
      </c>
      <c r="G131" s="15" t="s">
        <v>82</v>
      </c>
    </row>
    <row r="132" spans="1:7" x14ac:dyDescent="0.2">
      <c r="A132" s="32" t="s">
        <v>213</v>
      </c>
      <c r="B132" s="33">
        <v>8113</v>
      </c>
      <c r="C132" s="33">
        <v>44621500</v>
      </c>
      <c r="D132" s="33">
        <v>42187600</v>
      </c>
      <c r="E132" s="34">
        <v>150</v>
      </c>
      <c r="F132" s="35">
        <v>0.52500000000000002</v>
      </c>
      <c r="G132" s="36" t="s">
        <v>84</v>
      </c>
    </row>
    <row r="133" spans="1:7" x14ac:dyDescent="0.2">
      <c r="A133" s="14" t="s">
        <v>214</v>
      </c>
      <c r="B133" s="16">
        <v>15418</v>
      </c>
      <c r="C133" s="16">
        <v>84799000</v>
      </c>
      <c r="D133" s="16">
        <v>80173600</v>
      </c>
      <c r="E133" s="27">
        <v>260</v>
      </c>
      <c r="F133" s="17">
        <v>0.68200000000000005</v>
      </c>
      <c r="G133" s="15" t="s">
        <v>90</v>
      </c>
    </row>
    <row r="134" spans="1:7" x14ac:dyDescent="0.2">
      <c r="A134" s="32" t="s">
        <v>215</v>
      </c>
      <c r="B134" s="33">
        <v>160852</v>
      </c>
      <c r="C134" s="33">
        <v>450000000</v>
      </c>
      <c r="D134" s="33">
        <v>420000000</v>
      </c>
      <c r="E134" s="34">
        <v>12</v>
      </c>
      <c r="F134" s="35">
        <v>0.627</v>
      </c>
      <c r="G134" s="36" t="s">
        <v>82</v>
      </c>
    </row>
    <row r="135" spans="1:7" x14ac:dyDescent="0.2">
      <c r="A135" s="14" t="s">
        <v>216</v>
      </c>
      <c r="B135" s="16">
        <v>4492</v>
      </c>
      <c r="C135" s="16">
        <v>24706000</v>
      </c>
      <c r="D135" s="16">
        <v>23358400</v>
      </c>
      <c r="E135" s="27">
        <v>243.8</v>
      </c>
      <c r="F135" s="17">
        <v>0.627</v>
      </c>
      <c r="G135" s="15" t="s">
        <v>90</v>
      </c>
    </row>
    <row r="136" spans="1:7" x14ac:dyDescent="0.2">
      <c r="A136" s="32" t="s">
        <v>217</v>
      </c>
      <c r="B136" s="33">
        <v>2708</v>
      </c>
      <c r="C136" s="33">
        <v>14894000</v>
      </c>
      <c r="D136" s="33">
        <v>14081600</v>
      </c>
      <c r="E136" s="34">
        <v>220</v>
      </c>
      <c r="F136" s="35">
        <v>0.6</v>
      </c>
      <c r="G136" s="36" t="s">
        <v>84</v>
      </c>
    </row>
    <row r="137" spans="1:7" x14ac:dyDescent="0.2">
      <c r="A137" s="14" t="s">
        <v>218</v>
      </c>
      <c r="B137" s="16">
        <v>53457</v>
      </c>
      <c r="C137" s="16">
        <v>294013500</v>
      </c>
      <c r="D137" s="16">
        <v>277976400</v>
      </c>
      <c r="E137" s="27">
        <v>42</v>
      </c>
      <c r="F137" s="17">
        <v>0.56899999999999995</v>
      </c>
      <c r="G137" s="15" t="s">
        <v>82</v>
      </c>
    </row>
    <row r="138" spans="1:7" x14ac:dyDescent="0.2">
      <c r="A138" s="32" t="s">
        <v>219</v>
      </c>
      <c r="B138" s="33">
        <v>14131</v>
      </c>
      <c r="C138" s="33">
        <v>77720500</v>
      </c>
      <c r="D138" s="33">
        <v>73481200</v>
      </c>
      <c r="E138" s="34">
        <v>235</v>
      </c>
      <c r="F138" s="35">
        <v>0.628</v>
      </c>
      <c r="G138" s="36" t="s">
        <v>90</v>
      </c>
    </row>
    <row r="139" spans="1:7" x14ac:dyDescent="0.2">
      <c r="A139" s="14" t="s">
        <v>220</v>
      </c>
      <c r="B139" s="16">
        <v>6975</v>
      </c>
      <c r="C139" s="16">
        <v>38362500</v>
      </c>
      <c r="D139" s="16">
        <v>36270000</v>
      </c>
      <c r="E139" s="27">
        <v>115</v>
      </c>
      <c r="F139" s="17">
        <v>0.56999999999999995</v>
      </c>
      <c r="G139" s="15" t="s">
        <v>82</v>
      </c>
    </row>
    <row r="140" spans="1:7" x14ac:dyDescent="0.2">
      <c r="A140" s="32" t="s">
        <v>221</v>
      </c>
      <c r="B140" s="33">
        <v>3156</v>
      </c>
      <c r="C140" s="33">
        <v>17358000</v>
      </c>
      <c r="D140" s="33">
        <v>16411200</v>
      </c>
      <c r="E140" s="34">
        <v>135</v>
      </c>
      <c r="F140" s="35">
        <v>0.626</v>
      </c>
      <c r="G140" s="36" t="s">
        <v>84</v>
      </c>
    </row>
    <row r="141" spans="1:7" x14ac:dyDescent="0.2">
      <c r="A141" s="14" t="s">
        <v>222</v>
      </c>
      <c r="B141" s="16">
        <v>4754</v>
      </c>
      <c r="C141" s="16">
        <v>26147000</v>
      </c>
      <c r="D141" s="16">
        <v>24720800</v>
      </c>
      <c r="E141" s="27">
        <v>145</v>
      </c>
      <c r="F141" s="17">
        <v>0.54700000000000004</v>
      </c>
      <c r="G141" s="15" t="s">
        <v>84</v>
      </c>
    </row>
    <row r="142" spans="1:7" x14ac:dyDescent="0.2">
      <c r="A142" s="32" t="s">
        <v>223</v>
      </c>
      <c r="B142" s="33">
        <v>5332</v>
      </c>
      <c r="C142" s="33">
        <v>29326000</v>
      </c>
      <c r="D142" s="33">
        <v>27726400</v>
      </c>
      <c r="E142" s="34">
        <v>120</v>
      </c>
      <c r="F142" s="35">
        <v>0.621</v>
      </c>
      <c r="G142" s="36" t="s">
        <v>82</v>
      </c>
    </row>
    <row r="143" spans="1:7" x14ac:dyDescent="0.2">
      <c r="A143" s="14" t="s">
        <v>224</v>
      </c>
      <c r="B143" s="16">
        <v>8646</v>
      </c>
      <c r="C143" s="16">
        <v>47553000</v>
      </c>
      <c r="D143" s="16">
        <v>44959200</v>
      </c>
      <c r="E143" s="27">
        <v>50</v>
      </c>
      <c r="F143" s="17">
        <v>0.57299999999999995</v>
      </c>
      <c r="G143" s="15" t="s">
        <v>82</v>
      </c>
    </row>
    <row r="144" spans="1:7" x14ac:dyDescent="0.2">
      <c r="A144" s="32" t="s">
        <v>225</v>
      </c>
      <c r="B144" s="33">
        <v>14409</v>
      </c>
      <c r="C144" s="33">
        <v>79249500</v>
      </c>
      <c r="D144" s="33">
        <v>74926800</v>
      </c>
      <c r="E144" s="34">
        <v>165</v>
      </c>
      <c r="F144" s="35">
        <v>0.61599999999999999</v>
      </c>
      <c r="G144" s="36" t="s">
        <v>84</v>
      </c>
    </row>
    <row r="145" spans="1:7" x14ac:dyDescent="0.2">
      <c r="A145" s="14" t="s">
        <v>226</v>
      </c>
      <c r="B145" s="16">
        <v>27748</v>
      </c>
      <c r="C145" s="16">
        <v>152614000</v>
      </c>
      <c r="D145" s="16">
        <v>144289600</v>
      </c>
      <c r="E145" s="27">
        <v>145</v>
      </c>
      <c r="F145" s="17">
        <v>0.59499999999999997</v>
      </c>
      <c r="G145" s="15" t="s">
        <v>84</v>
      </c>
    </row>
    <row r="146" spans="1:7" x14ac:dyDescent="0.2">
      <c r="A146" s="32" t="s">
        <v>227</v>
      </c>
      <c r="B146" s="33">
        <v>3476</v>
      </c>
      <c r="C146" s="33">
        <v>19118000</v>
      </c>
      <c r="D146" s="33">
        <v>18075200</v>
      </c>
      <c r="E146" s="34">
        <v>215</v>
      </c>
      <c r="F146" s="35">
        <v>0.57299999999999995</v>
      </c>
      <c r="G146" s="36" t="s">
        <v>84</v>
      </c>
    </row>
    <row r="147" spans="1:7" x14ac:dyDescent="0.2">
      <c r="A147" s="14" t="s">
        <v>228</v>
      </c>
      <c r="B147" s="16">
        <v>17852</v>
      </c>
      <c r="C147" s="16">
        <v>98186000</v>
      </c>
      <c r="D147" s="16">
        <v>92830400</v>
      </c>
      <c r="E147" s="27">
        <v>265</v>
      </c>
      <c r="F147" s="17">
        <v>0.627</v>
      </c>
      <c r="G147" s="15" t="s">
        <v>90</v>
      </c>
    </row>
    <row r="148" spans="1:7" x14ac:dyDescent="0.2">
      <c r="A148" s="32" t="s">
        <v>229</v>
      </c>
      <c r="B148" s="33">
        <v>4327</v>
      </c>
      <c r="C148" s="33">
        <v>23798500</v>
      </c>
      <c r="D148" s="33">
        <v>22500400</v>
      </c>
      <c r="E148" s="34">
        <v>365</v>
      </c>
      <c r="F148" s="35">
        <v>0.60599999999999998</v>
      </c>
      <c r="G148" s="36" t="s">
        <v>90</v>
      </c>
    </row>
    <row r="149" spans="1:7" x14ac:dyDescent="0.2">
      <c r="A149" s="14" t="s">
        <v>230</v>
      </c>
      <c r="B149" s="16">
        <v>2688</v>
      </c>
      <c r="C149" s="16">
        <v>14784000</v>
      </c>
      <c r="D149" s="16">
        <v>13977600</v>
      </c>
      <c r="E149" s="27">
        <v>215</v>
      </c>
      <c r="F149" s="17">
        <v>0.58899999999999997</v>
      </c>
      <c r="G149" s="15" t="s">
        <v>84</v>
      </c>
    </row>
    <row r="150" spans="1:7" x14ac:dyDescent="0.2">
      <c r="A150" s="32" t="s">
        <v>231</v>
      </c>
      <c r="B150" s="33">
        <v>4056</v>
      </c>
      <c r="C150" s="33">
        <v>22308000</v>
      </c>
      <c r="D150" s="33">
        <v>21091200</v>
      </c>
      <c r="E150" s="34">
        <v>335</v>
      </c>
      <c r="F150" s="35">
        <v>0.57699999999999996</v>
      </c>
      <c r="G150" s="36" t="s">
        <v>90</v>
      </c>
    </row>
    <row r="151" spans="1:7" x14ac:dyDescent="0.2">
      <c r="A151" s="14" t="s">
        <v>232</v>
      </c>
      <c r="B151" s="16">
        <v>3337</v>
      </c>
      <c r="C151" s="16">
        <v>18353500</v>
      </c>
      <c r="D151" s="16">
        <v>17352400</v>
      </c>
      <c r="E151" s="27">
        <v>320</v>
      </c>
      <c r="F151" s="17">
        <v>0.57799999999999996</v>
      </c>
      <c r="G151" s="15" t="s">
        <v>90</v>
      </c>
    </row>
    <row r="152" spans="1:7" x14ac:dyDescent="0.2">
      <c r="A152" s="32" t="s">
        <v>233</v>
      </c>
      <c r="B152" s="33">
        <v>4283</v>
      </c>
      <c r="C152" s="33">
        <v>23556500</v>
      </c>
      <c r="D152" s="33">
        <v>22271600</v>
      </c>
      <c r="E152" s="34">
        <v>315</v>
      </c>
      <c r="F152" s="35">
        <v>0.61699999999999999</v>
      </c>
      <c r="G152" s="36" t="s">
        <v>90</v>
      </c>
    </row>
    <row r="153" spans="1:7" x14ac:dyDescent="0.2">
      <c r="A153" s="14" t="s">
        <v>234</v>
      </c>
      <c r="B153" s="16">
        <v>3462</v>
      </c>
      <c r="C153" s="16">
        <v>19041000</v>
      </c>
      <c r="D153" s="16">
        <v>18002400</v>
      </c>
      <c r="E153" s="27">
        <v>295</v>
      </c>
      <c r="F153" s="17">
        <v>0.55600000000000005</v>
      </c>
      <c r="G153" s="15" t="s">
        <v>90</v>
      </c>
    </row>
    <row r="154" spans="1:7" x14ac:dyDescent="0.2">
      <c r="A154" s="32" t="s">
        <v>235</v>
      </c>
      <c r="B154" s="33">
        <v>6137</v>
      </c>
      <c r="C154" s="33">
        <v>33753500</v>
      </c>
      <c r="D154" s="33">
        <v>31912400</v>
      </c>
      <c r="E154" s="34">
        <v>80</v>
      </c>
      <c r="F154" s="35">
        <v>0.54100000000000004</v>
      </c>
      <c r="G154" s="36" t="s">
        <v>82</v>
      </c>
    </row>
    <row r="155" spans="1:7" x14ac:dyDescent="0.2">
      <c r="A155" s="14" t="s">
        <v>236</v>
      </c>
      <c r="B155" s="16">
        <v>4345</v>
      </c>
      <c r="C155" s="16">
        <v>23897500</v>
      </c>
      <c r="D155" s="16">
        <v>22594000</v>
      </c>
      <c r="E155" s="27">
        <v>215</v>
      </c>
      <c r="F155" s="17">
        <v>0.622</v>
      </c>
      <c r="G155" s="15" t="s">
        <v>84</v>
      </c>
    </row>
    <row r="156" spans="1:7" x14ac:dyDescent="0.2">
      <c r="A156" s="32" t="s">
        <v>237</v>
      </c>
      <c r="B156" s="33">
        <v>4359</v>
      </c>
      <c r="C156" s="33">
        <v>23974500</v>
      </c>
      <c r="D156" s="33">
        <v>22666800</v>
      </c>
      <c r="E156" s="34">
        <v>340</v>
      </c>
      <c r="F156" s="35">
        <v>0.55200000000000005</v>
      </c>
      <c r="G156" s="36" t="s">
        <v>90</v>
      </c>
    </row>
    <row r="157" spans="1:7" x14ac:dyDescent="0.2">
      <c r="A157" s="14" t="s">
        <v>238</v>
      </c>
      <c r="B157" s="16">
        <v>7629</v>
      </c>
      <c r="C157" s="16">
        <v>41959500</v>
      </c>
      <c r="D157" s="16">
        <v>39670800</v>
      </c>
      <c r="E157" s="27">
        <v>285</v>
      </c>
      <c r="F157" s="17">
        <v>0.64100000000000001</v>
      </c>
      <c r="G157" s="15" t="s">
        <v>90</v>
      </c>
    </row>
    <row r="158" spans="1:7" x14ac:dyDescent="0.2">
      <c r="A158" s="32" t="s">
        <v>239</v>
      </c>
      <c r="B158" s="33">
        <v>7307</v>
      </c>
      <c r="C158" s="33">
        <v>40188500</v>
      </c>
      <c r="D158" s="33">
        <v>37996400</v>
      </c>
      <c r="E158" s="34">
        <v>45</v>
      </c>
      <c r="F158" s="35">
        <v>0.54800000000000004</v>
      </c>
      <c r="G158" s="36" t="s">
        <v>82</v>
      </c>
    </row>
    <row r="159" spans="1:7" x14ac:dyDescent="0.2">
      <c r="A159" s="14" t="s">
        <v>240</v>
      </c>
      <c r="B159" s="16">
        <v>11387</v>
      </c>
      <c r="C159" s="16">
        <v>62628500</v>
      </c>
      <c r="D159" s="16">
        <v>59212400</v>
      </c>
      <c r="E159" s="27">
        <v>140</v>
      </c>
      <c r="F159" s="17">
        <v>0.59399999999999997</v>
      </c>
      <c r="G159" s="15" t="s">
        <v>84</v>
      </c>
    </row>
    <row r="160" spans="1:7" x14ac:dyDescent="0.2">
      <c r="A160" s="32" t="s">
        <v>241</v>
      </c>
      <c r="B160" s="33">
        <v>3382</v>
      </c>
      <c r="C160" s="33">
        <v>18601000</v>
      </c>
      <c r="D160" s="33">
        <v>17586400</v>
      </c>
      <c r="E160" s="34">
        <v>355</v>
      </c>
      <c r="F160" s="35">
        <v>0.58099999999999996</v>
      </c>
      <c r="G160" s="36" t="s">
        <v>90</v>
      </c>
    </row>
    <row r="161" spans="1:7" x14ac:dyDescent="0.2">
      <c r="A161" s="14" t="s">
        <v>242</v>
      </c>
      <c r="B161" s="16">
        <v>10652</v>
      </c>
      <c r="C161" s="16">
        <v>58586000</v>
      </c>
      <c r="D161" s="16">
        <v>55390400</v>
      </c>
      <c r="E161" s="27">
        <v>210</v>
      </c>
      <c r="F161" s="17">
        <v>0.55500000000000005</v>
      </c>
      <c r="G161" s="15" t="s">
        <v>84</v>
      </c>
    </row>
    <row r="162" spans="1:7" x14ac:dyDescent="0.2">
      <c r="A162" s="32" t="s">
        <v>243</v>
      </c>
      <c r="B162" s="33">
        <v>7794</v>
      </c>
      <c r="C162" s="33">
        <v>42867000</v>
      </c>
      <c r="D162" s="33">
        <v>40528800</v>
      </c>
      <c r="E162" s="34">
        <v>160</v>
      </c>
      <c r="F162" s="35">
        <v>0.55100000000000005</v>
      </c>
      <c r="G162" s="36" t="s">
        <v>84</v>
      </c>
    </row>
    <row r="163" spans="1:7" x14ac:dyDescent="0.2">
      <c r="A163" s="14" t="s">
        <v>244</v>
      </c>
      <c r="B163" s="16">
        <v>14358</v>
      </c>
      <c r="C163" s="16">
        <v>78969000</v>
      </c>
      <c r="D163" s="16">
        <v>74661600</v>
      </c>
      <c r="E163" s="27">
        <v>245</v>
      </c>
      <c r="F163" s="17">
        <v>0.57799999999999996</v>
      </c>
      <c r="G163" s="15" t="s">
        <v>90</v>
      </c>
    </row>
    <row r="164" spans="1:7" x14ac:dyDescent="0.2">
      <c r="A164" s="32" t="s">
        <v>245</v>
      </c>
      <c r="B164" s="33">
        <v>15129</v>
      </c>
      <c r="C164" s="33">
        <v>83209500</v>
      </c>
      <c r="D164" s="33">
        <v>78670800</v>
      </c>
      <c r="E164" s="34">
        <v>320</v>
      </c>
      <c r="F164" s="35">
        <v>0.60499999999999998</v>
      </c>
      <c r="G164" s="36" t="s">
        <v>90</v>
      </c>
    </row>
    <row r="165" spans="1:7" x14ac:dyDescent="0.2">
      <c r="A165" s="14" t="s">
        <v>246</v>
      </c>
      <c r="B165" s="16">
        <v>3082</v>
      </c>
      <c r="C165" s="16">
        <v>16951000</v>
      </c>
      <c r="D165" s="16">
        <v>16026400</v>
      </c>
      <c r="E165" s="27">
        <v>215</v>
      </c>
      <c r="F165" s="17">
        <v>0.58099999999999996</v>
      </c>
      <c r="G165" s="15" t="s">
        <v>84</v>
      </c>
    </row>
    <row r="166" spans="1:7" x14ac:dyDescent="0.2">
      <c r="A166" s="32" t="s">
        <v>247</v>
      </c>
      <c r="B166" s="33">
        <v>9274</v>
      </c>
      <c r="C166" s="33">
        <v>51007000</v>
      </c>
      <c r="D166" s="33">
        <v>48224800</v>
      </c>
      <c r="E166" s="34">
        <v>155</v>
      </c>
      <c r="F166" s="35">
        <v>0.58399999999999996</v>
      </c>
      <c r="G166" s="36" t="s">
        <v>84</v>
      </c>
    </row>
    <row r="167" spans="1:7" x14ac:dyDescent="0.2">
      <c r="A167" s="14" t="s">
        <v>248</v>
      </c>
      <c r="B167" s="16">
        <v>3772</v>
      </c>
      <c r="C167" s="16">
        <v>20746000</v>
      </c>
      <c r="D167" s="16">
        <v>19614400</v>
      </c>
      <c r="E167" s="27">
        <v>365</v>
      </c>
      <c r="F167" s="17">
        <v>0.56599999999999995</v>
      </c>
      <c r="G167" s="15" t="s">
        <v>90</v>
      </c>
    </row>
    <row r="168" spans="1:7" x14ac:dyDescent="0.2">
      <c r="A168" s="32" t="s">
        <v>249</v>
      </c>
      <c r="B168" s="33">
        <v>2777</v>
      </c>
      <c r="C168" s="33">
        <v>15273500</v>
      </c>
      <c r="D168" s="33">
        <v>14440400</v>
      </c>
      <c r="E168" s="34">
        <v>243.8</v>
      </c>
      <c r="F168" s="35">
        <v>0.70699999999999996</v>
      </c>
      <c r="G168" s="36" t="s">
        <v>90</v>
      </c>
    </row>
    <row r="169" spans="1:7" x14ac:dyDescent="0.2">
      <c r="A169" s="14" t="s">
        <v>250</v>
      </c>
      <c r="B169" s="16">
        <v>2323</v>
      </c>
      <c r="C169" s="16">
        <v>12776500</v>
      </c>
      <c r="D169" s="16">
        <v>12079600</v>
      </c>
      <c r="E169" s="27">
        <v>243.8</v>
      </c>
      <c r="F169" s="17">
        <v>0.623</v>
      </c>
      <c r="G169" s="15" t="s">
        <v>90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2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90" customWidth="1"/>
  </cols>
  <sheetData>
    <row r="1" spans="1:1" ht="22" customHeight="1" x14ac:dyDescent="0.2">
      <c r="A1" s="37" t="s">
        <v>251</v>
      </c>
    </row>
    <row r="2" spans="1:1" x14ac:dyDescent="0.2">
      <c r="A2" s="38"/>
    </row>
    <row r="3" spans="1:1" ht="18" customHeight="1" x14ac:dyDescent="0.2">
      <c r="A3" s="39" t="s">
        <v>252</v>
      </c>
    </row>
    <row r="4" spans="1:1" x14ac:dyDescent="0.2">
      <c r="A4" s="38" t="s">
        <v>253</v>
      </c>
    </row>
    <row r="5" spans="1:1" x14ac:dyDescent="0.2">
      <c r="A5" s="38" t="s">
        <v>254</v>
      </c>
    </row>
    <row r="6" spans="1:1" x14ac:dyDescent="0.2">
      <c r="A6" s="38" t="s">
        <v>255</v>
      </c>
    </row>
    <row r="7" spans="1:1" x14ac:dyDescent="0.2">
      <c r="A7" s="38" t="s">
        <v>256</v>
      </c>
    </row>
    <row r="8" spans="1:1" x14ac:dyDescent="0.2">
      <c r="A8" s="38" t="s">
        <v>257</v>
      </c>
    </row>
    <row r="9" spans="1:1" x14ac:dyDescent="0.2">
      <c r="A9" s="38"/>
    </row>
    <row r="10" spans="1:1" ht="18" customHeight="1" x14ac:dyDescent="0.2">
      <c r="A10" s="39" t="s">
        <v>258</v>
      </c>
    </row>
    <row r="11" spans="1:1" x14ac:dyDescent="0.2">
      <c r="A11" s="38" t="s">
        <v>259</v>
      </c>
    </row>
    <row r="12" spans="1:1" x14ac:dyDescent="0.2">
      <c r="A12" s="38" t="s">
        <v>260</v>
      </c>
    </row>
    <row r="13" spans="1:1" x14ac:dyDescent="0.2">
      <c r="A13" s="38" t="s">
        <v>261</v>
      </c>
    </row>
    <row r="14" spans="1:1" x14ac:dyDescent="0.2">
      <c r="A14" s="38" t="s">
        <v>262</v>
      </c>
    </row>
    <row r="15" spans="1:1" x14ac:dyDescent="0.2">
      <c r="A15" s="38"/>
    </row>
    <row r="16" spans="1:1" ht="18" customHeight="1" x14ac:dyDescent="0.2">
      <c r="A16" s="39" t="s">
        <v>263</v>
      </c>
    </row>
    <row r="17" spans="1:1" x14ac:dyDescent="0.2">
      <c r="A17" s="38" t="s">
        <v>264</v>
      </c>
    </row>
    <row r="18" spans="1:1" x14ac:dyDescent="0.2">
      <c r="A18" s="38" t="s">
        <v>265</v>
      </c>
    </row>
    <row r="19" spans="1:1" x14ac:dyDescent="0.2">
      <c r="A19" s="38" t="s">
        <v>266</v>
      </c>
    </row>
    <row r="20" spans="1:1" x14ac:dyDescent="0.2">
      <c r="A20" s="38" t="s">
        <v>267</v>
      </c>
    </row>
    <row r="21" spans="1:1" x14ac:dyDescent="0.2">
      <c r="A21" s="38" t="s">
        <v>268</v>
      </c>
    </row>
    <row r="22" spans="1:1" x14ac:dyDescent="0.2">
      <c r="A22" s="38" t="s">
        <v>269</v>
      </c>
    </row>
    <row r="23" spans="1:1" x14ac:dyDescent="0.2">
      <c r="A23" s="38"/>
    </row>
    <row r="24" spans="1:1" ht="18" customHeight="1" x14ac:dyDescent="0.2">
      <c r="A24" s="39" t="s">
        <v>270</v>
      </c>
    </row>
    <row r="25" spans="1:1" x14ac:dyDescent="0.2">
      <c r="A25" s="38" t="s">
        <v>271</v>
      </c>
    </row>
    <row r="26" spans="1:1" x14ac:dyDescent="0.2">
      <c r="A26" s="38" t="s">
        <v>272</v>
      </c>
    </row>
    <row r="27" spans="1:1" x14ac:dyDescent="0.2">
      <c r="A27" s="38" t="s">
        <v>273</v>
      </c>
    </row>
    <row r="28" spans="1:1" x14ac:dyDescent="0.2">
      <c r="A28" s="38" t="s">
        <v>274</v>
      </c>
    </row>
    <row r="29" spans="1:1" x14ac:dyDescent="0.2">
      <c r="A29" s="38" t="s">
        <v>275</v>
      </c>
    </row>
    <row r="30" spans="1:1" x14ac:dyDescent="0.2">
      <c r="A30" s="38" t="s">
        <v>276</v>
      </c>
    </row>
    <row r="31" spans="1:1" x14ac:dyDescent="0.2">
      <c r="A31" s="38"/>
    </row>
    <row r="32" spans="1:1" ht="18" customHeight="1" x14ac:dyDescent="0.2">
      <c r="A32" s="39" t="s">
        <v>277</v>
      </c>
    </row>
    <row r="33" spans="1:1" x14ac:dyDescent="0.2">
      <c r="A33" s="38" t="s">
        <v>278</v>
      </c>
    </row>
    <row r="34" spans="1:1" x14ac:dyDescent="0.2">
      <c r="A34" s="38" t="s">
        <v>279</v>
      </c>
    </row>
    <row r="35" spans="1:1" x14ac:dyDescent="0.2">
      <c r="A35" s="38" t="s">
        <v>280</v>
      </c>
    </row>
    <row r="36" spans="1:1" x14ac:dyDescent="0.2">
      <c r="A36" s="38" t="s">
        <v>281</v>
      </c>
    </row>
    <row r="37" spans="1:1" x14ac:dyDescent="0.2">
      <c r="A37" s="38" t="s">
        <v>282</v>
      </c>
    </row>
    <row r="38" spans="1:1" x14ac:dyDescent="0.2">
      <c r="A38" s="38" t="s">
        <v>283</v>
      </c>
    </row>
    <row r="39" spans="1:1" x14ac:dyDescent="0.2">
      <c r="A39" s="38" t="s">
        <v>284</v>
      </c>
    </row>
    <row r="40" spans="1:1" x14ac:dyDescent="0.2">
      <c r="A40" s="38"/>
    </row>
    <row r="41" spans="1:1" ht="18" customHeight="1" x14ac:dyDescent="0.2">
      <c r="A41" s="39" t="s">
        <v>285</v>
      </c>
    </row>
    <row r="42" spans="1:1" x14ac:dyDescent="0.2">
      <c r="A42" s="38" t="s">
        <v>286</v>
      </c>
    </row>
    <row r="43" spans="1:1" x14ac:dyDescent="0.2">
      <c r="A43" s="38" t="s">
        <v>287</v>
      </c>
    </row>
    <row r="44" spans="1:1" x14ac:dyDescent="0.2">
      <c r="A44" s="38" t="s">
        <v>288</v>
      </c>
    </row>
    <row r="45" spans="1:1" x14ac:dyDescent="0.2">
      <c r="A45" s="38" t="s">
        <v>289</v>
      </c>
    </row>
    <row r="46" spans="1:1" x14ac:dyDescent="0.2">
      <c r="A46" s="38" t="s">
        <v>290</v>
      </c>
    </row>
    <row r="47" spans="1:1" x14ac:dyDescent="0.2">
      <c r="A47" s="38"/>
    </row>
    <row r="48" spans="1:1" ht="18" customHeight="1" x14ac:dyDescent="0.2">
      <c r="A48" s="39" t="s">
        <v>291</v>
      </c>
    </row>
    <row r="49" spans="1:1" x14ac:dyDescent="0.2">
      <c r="A49" s="38" t="s">
        <v>292</v>
      </c>
    </row>
    <row r="50" spans="1:1" x14ac:dyDescent="0.2">
      <c r="A50" s="38" t="s">
        <v>293</v>
      </c>
    </row>
    <row r="51" spans="1:1" x14ac:dyDescent="0.2">
      <c r="A51" s="38" t="s">
        <v>294</v>
      </c>
    </row>
    <row r="52" spans="1:1" x14ac:dyDescent="0.2">
      <c r="A52" s="38" t="s">
        <v>295</v>
      </c>
    </row>
    <row r="53" spans="1:1" x14ac:dyDescent="0.2">
      <c r="A53" s="38" t="s">
        <v>303</v>
      </c>
    </row>
    <row r="54" spans="1:1" x14ac:dyDescent="0.2">
      <c r="A54" s="38" t="s">
        <v>296</v>
      </c>
    </row>
    <row r="55" spans="1:1" x14ac:dyDescent="0.2">
      <c r="A55" s="38"/>
    </row>
    <row r="56" spans="1:1" ht="18" customHeight="1" x14ac:dyDescent="0.2">
      <c r="A56" s="39" t="s">
        <v>297</v>
      </c>
    </row>
    <row r="57" spans="1:1" x14ac:dyDescent="0.2">
      <c r="A57" s="38" t="s">
        <v>298</v>
      </c>
    </row>
    <row r="58" spans="1:1" x14ac:dyDescent="0.2">
      <c r="A58" s="38" t="s">
        <v>299</v>
      </c>
    </row>
    <row r="59" spans="1:1" x14ac:dyDescent="0.2">
      <c r="A59" s="38" t="s">
        <v>300</v>
      </c>
    </row>
    <row r="60" spans="1:1" x14ac:dyDescent="0.2">
      <c r="A60" s="38" t="s">
        <v>301</v>
      </c>
    </row>
    <row r="61" spans="1:1" x14ac:dyDescent="0.2">
      <c r="A61" s="38"/>
    </row>
    <row r="62" spans="1:1" x14ac:dyDescent="0.2">
      <c r="A62" s="38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Pares Randomizados</vt:lpstr>
      <vt:lpstr>Grupo A</vt:lpstr>
      <vt:lpstr>Grupo B</vt:lpstr>
      <vt:lpstr>Não Selecionados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Bradson Tiberio Luna Camelo</cp:lastModifiedBy>
  <dcterms:created xsi:type="dcterms:W3CDTF">2026-03-11T14:16:51Z</dcterms:created>
  <dcterms:modified xsi:type="dcterms:W3CDTF">2026-03-11T14:18:34Z</dcterms:modified>
</cp:coreProperties>
</file>